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eenwaytrainingltd.sharepoint.com/sites/PrivateFiles/Shared Documents/Chainsaw Tracker/"/>
    </mc:Choice>
  </mc:AlternateContent>
  <xr:revisionPtr revIDLastSave="1" documentId="11_DC7F9A2B303BF65DCDBAEC32B46FCD86C7AEA1D3" xr6:coauthVersionLast="47" xr6:coauthVersionMax="47" xr10:uidLastSave="{3B1E38A6-4F5F-4EDF-97EB-60DFCECE006F}"/>
  <bookViews>
    <workbookView xWindow="28680" yWindow="-120" windowWidth="29040" windowHeight="15720" xr2:uid="{00000000-000D-0000-FFFF-FFFF00000000}"/>
  </bookViews>
  <sheets>
    <sheet name="Inventory" sheetId="1" r:id="rId1"/>
    <sheet name="Form Responses 1" sheetId="2" r:id="rId2"/>
    <sheet name="Live 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1" i="3" l="1"/>
  <c r="G91" i="3"/>
  <c r="F91" i="3"/>
  <c r="E91" i="3"/>
  <c r="D91" i="3"/>
  <c r="C91" i="3"/>
  <c r="H90" i="3"/>
  <c r="G90" i="3"/>
  <c r="F90" i="3"/>
  <c r="E90" i="3"/>
  <c r="D90" i="3"/>
  <c r="C90" i="3"/>
  <c r="H89" i="3"/>
  <c r="G89" i="3"/>
  <c r="F89" i="3"/>
  <c r="E89" i="3"/>
  <c r="D89" i="3"/>
  <c r="C89" i="3"/>
  <c r="H88" i="3"/>
  <c r="G88" i="3"/>
  <c r="F88" i="3"/>
  <c r="E88" i="3"/>
  <c r="D88" i="3"/>
  <c r="C88" i="3"/>
  <c r="H87" i="3"/>
  <c r="G87" i="3"/>
  <c r="F87" i="3"/>
  <c r="E87" i="3"/>
  <c r="D87" i="3"/>
  <c r="C87" i="3"/>
  <c r="H86" i="3"/>
  <c r="G86" i="3"/>
  <c r="F86" i="3"/>
  <c r="E86" i="3"/>
  <c r="D86" i="3"/>
  <c r="C86" i="3"/>
  <c r="H85" i="3"/>
  <c r="G85" i="3"/>
  <c r="F85" i="3"/>
  <c r="E85" i="3"/>
  <c r="D85" i="3"/>
  <c r="C85" i="3"/>
  <c r="H84" i="3"/>
  <c r="G84" i="3"/>
  <c r="F84" i="3"/>
  <c r="E84" i="3"/>
  <c r="D84" i="3"/>
  <c r="C84" i="3"/>
  <c r="H83" i="3"/>
  <c r="G83" i="3"/>
  <c r="F83" i="3"/>
  <c r="E83" i="3"/>
  <c r="D83" i="3"/>
  <c r="C83" i="3"/>
  <c r="H82" i="3"/>
  <c r="G82" i="3"/>
  <c r="F82" i="3"/>
  <c r="E82" i="3"/>
  <c r="D82" i="3"/>
  <c r="C82" i="3"/>
  <c r="H81" i="3"/>
  <c r="G81" i="3"/>
  <c r="F81" i="3"/>
  <c r="E81" i="3"/>
  <c r="D81" i="3"/>
  <c r="C81" i="3"/>
  <c r="H80" i="3"/>
  <c r="G80" i="3"/>
  <c r="F80" i="3"/>
  <c r="E80" i="3"/>
  <c r="D80" i="3"/>
  <c r="C80" i="3"/>
  <c r="H79" i="3"/>
  <c r="G79" i="3"/>
  <c r="F79" i="3"/>
  <c r="E79" i="3"/>
  <c r="D79" i="3"/>
  <c r="C79" i="3"/>
  <c r="H78" i="3"/>
  <c r="G78" i="3"/>
  <c r="F78" i="3"/>
  <c r="E78" i="3"/>
  <c r="D78" i="3"/>
  <c r="C78" i="3"/>
  <c r="H77" i="3"/>
  <c r="G77" i="3"/>
  <c r="F77" i="3"/>
  <c r="E77" i="3"/>
  <c r="D77" i="3"/>
  <c r="C77" i="3"/>
  <c r="H76" i="3"/>
  <c r="G76" i="3"/>
  <c r="F76" i="3"/>
  <c r="E76" i="3"/>
  <c r="D76" i="3"/>
  <c r="C76" i="3"/>
  <c r="H75" i="3"/>
  <c r="G75" i="3"/>
  <c r="F75" i="3"/>
  <c r="E75" i="3"/>
  <c r="D75" i="3"/>
  <c r="C75" i="3"/>
  <c r="H74" i="3"/>
  <c r="G74" i="3"/>
  <c r="F74" i="3"/>
  <c r="E74" i="3"/>
  <c r="D74" i="3"/>
  <c r="C74" i="3"/>
  <c r="H73" i="3"/>
  <c r="G73" i="3"/>
  <c r="F73" i="3"/>
  <c r="E73" i="3"/>
  <c r="D73" i="3"/>
  <c r="C73" i="3"/>
  <c r="H72" i="3"/>
  <c r="G72" i="3"/>
  <c r="F72" i="3"/>
  <c r="E72" i="3"/>
  <c r="D72" i="3"/>
  <c r="C72" i="3"/>
  <c r="H71" i="3"/>
  <c r="G71" i="3"/>
  <c r="F71" i="3"/>
  <c r="E71" i="3"/>
  <c r="D71" i="3"/>
  <c r="C71" i="3"/>
  <c r="H70" i="3"/>
  <c r="G70" i="3"/>
  <c r="F70" i="3"/>
  <c r="E70" i="3"/>
  <c r="D70" i="3"/>
  <c r="C70" i="3"/>
  <c r="H69" i="3"/>
  <c r="G69" i="3"/>
  <c r="F69" i="3"/>
  <c r="E69" i="3"/>
  <c r="D69" i="3"/>
  <c r="C69" i="3"/>
  <c r="H68" i="3"/>
  <c r="G68" i="3"/>
  <c r="F68" i="3"/>
  <c r="E68" i="3"/>
  <c r="D68" i="3"/>
  <c r="C68" i="3"/>
  <c r="H67" i="3"/>
  <c r="G67" i="3"/>
  <c r="F67" i="3"/>
  <c r="E67" i="3"/>
  <c r="D67" i="3"/>
  <c r="C67" i="3"/>
  <c r="H66" i="3"/>
  <c r="G66" i="3"/>
  <c r="F66" i="3"/>
  <c r="E66" i="3"/>
  <c r="D66" i="3"/>
  <c r="C66" i="3"/>
  <c r="H65" i="3"/>
  <c r="G65" i="3"/>
  <c r="F65" i="3"/>
  <c r="E65" i="3"/>
  <c r="D65" i="3"/>
  <c r="C65" i="3"/>
  <c r="H64" i="3"/>
  <c r="G64" i="3"/>
  <c r="F64" i="3"/>
  <c r="E64" i="3"/>
  <c r="D64" i="3"/>
  <c r="C64" i="3"/>
  <c r="H63" i="3"/>
  <c r="G63" i="3"/>
  <c r="F63" i="3"/>
  <c r="E63" i="3"/>
  <c r="D63" i="3"/>
  <c r="C63" i="3"/>
  <c r="H62" i="3"/>
  <c r="G62" i="3"/>
  <c r="F62" i="3"/>
  <c r="E62" i="3"/>
  <c r="D62" i="3"/>
  <c r="C62" i="3"/>
  <c r="H61" i="3"/>
  <c r="G61" i="3"/>
  <c r="F61" i="3"/>
  <c r="E61" i="3"/>
  <c r="D61" i="3"/>
  <c r="C61" i="3"/>
  <c r="H60" i="3"/>
  <c r="G60" i="3"/>
  <c r="F60" i="3"/>
  <c r="E60" i="3"/>
  <c r="D60" i="3"/>
  <c r="C60" i="3"/>
  <c r="H59" i="3"/>
  <c r="G59" i="3"/>
  <c r="F59" i="3"/>
  <c r="E59" i="3"/>
  <c r="D59" i="3"/>
  <c r="C59" i="3"/>
  <c r="H58" i="3"/>
  <c r="G58" i="3"/>
  <c r="F58" i="3"/>
  <c r="E58" i="3"/>
  <c r="D58" i="3"/>
  <c r="C58" i="3"/>
  <c r="H57" i="3"/>
  <c r="G57" i="3"/>
  <c r="F57" i="3"/>
  <c r="E57" i="3"/>
  <c r="D57" i="3"/>
  <c r="C57" i="3"/>
  <c r="H56" i="3"/>
  <c r="G56" i="3"/>
  <c r="F56" i="3"/>
  <c r="E56" i="3"/>
  <c r="D56" i="3"/>
  <c r="C56" i="3"/>
  <c r="H55" i="3"/>
  <c r="G55" i="3"/>
  <c r="F55" i="3"/>
  <c r="E55" i="3"/>
  <c r="D55" i="3"/>
  <c r="C55" i="3"/>
  <c r="H54" i="3"/>
  <c r="G54" i="3"/>
  <c r="F54" i="3"/>
  <c r="E54" i="3"/>
  <c r="D54" i="3"/>
  <c r="C54" i="3"/>
  <c r="H53" i="3"/>
  <c r="G53" i="3"/>
  <c r="F53" i="3"/>
  <c r="E53" i="3"/>
  <c r="D53" i="3"/>
  <c r="C53" i="3"/>
  <c r="H52" i="3"/>
  <c r="G52" i="3"/>
  <c r="F52" i="3"/>
  <c r="E52" i="3"/>
  <c r="D52" i="3"/>
  <c r="C52" i="3"/>
  <c r="H51" i="3"/>
  <c r="G51" i="3"/>
  <c r="F51" i="3"/>
  <c r="E51" i="3"/>
  <c r="D51" i="3"/>
  <c r="C51" i="3"/>
  <c r="H50" i="3"/>
  <c r="G50" i="3"/>
  <c r="F50" i="3"/>
  <c r="E50" i="3"/>
  <c r="D50" i="3"/>
  <c r="C50" i="3"/>
  <c r="H49" i="3"/>
  <c r="G49" i="3"/>
  <c r="F49" i="3"/>
  <c r="E49" i="3"/>
  <c r="D49" i="3"/>
  <c r="C49" i="3"/>
  <c r="H48" i="3"/>
  <c r="G48" i="3"/>
  <c r="F48" i="3"/>
  <c r="E48" i="3"/>
  <c r="D48" i="3"/>
  <c r="C48" i="3"/>
</calcChain>
</file>

<file path=xl/sharedStrings.xml><?xml version="1.0" encoding="utf-8"?>
<sst xmlns="http://schemas.openxmlformats.org/spreadsheetml/2006/main" count="361" uniqueCount="98">
  <si>
    <t>Asset ID</t>
  </si>
  <si>
    <t>Category</t>
  </si>
  <si>
    <t>Chainsaw-01</t>
  </si>
  <si>
    <t>Chainsaw</t>
  </si>
  <si>
    <t>Chainsaw-02</t>
  </si>
  <si>
    <t>Chainsaw-03</t>
  </si>
  <si>
    <t>Chainsaw-04</t>
  </si>
  <si>
    <t>Chainsaw-05</t>
  </si>
  <si>
    <t>Chainsaw-06</t>
  </si>
  <si>
    <t>Chainsaw-07</t>
  </si>
  <si>
    <t>Chainsaw-08</t>
  </si>
  <si>
    <t>Chainsaw-09</t>
  </si>
  <si>
    <t>Chainsaw-10</t>
  </si>
  <si>
    <t>Chainsaw-11</t>
  </si>
  <si>
    <t>Chainsaw-12</t>
  </si>
  <si>
    <t>Chainsaw-13</t>
  </si>
  <si>
    <t>Gloves and Helmet 1</t>
  </si>
  <si>
    <t>PPE</t>
  </si>
  <si>
    <t>Gloves and Helmet 2</t>
  </si>
  <si>
    <t>Gloves and Helmet 3</t>
  </si>
  <si>
    <t>Gloves and Helmet 4</t>
  </si>
  <si>
    <t>Gloves and Helmet 5</t>
  </si>
  <si>
    <t>Gloves and Helmet 6</t>
  </si>
  <si>
    <t>Gloves and Helmet 7</t>
  </si>
  <si>
    <t>Gloves and Helmet 8</t>
  </si>
  <si>
    <t>Trousers - S1</t>
  </si>
  <si>
    <t>Trousers</t>
  </si>
  <si>
    <t>Trousers - S2</t>
  </si>
  <si>
    <t>Trousers - S3</t>
  </si>
  <si>
    <t>Trousers - S4</t>
  </si>
  <si>
    <t>Trousers - S5</t>
  </si>
  <si>
    <t>Trousers - M1</t>
  </si>
  <si>
    <t>Trousers - M2</t>
  </si>
  <si>
    <t>Trousers - M3</t>
  </si>
  <si>
    <t>Trousers - M4</t>
  </si>
  <si>
    <t>Trousers - M5</t>
  </si>
  <si>
    <t>Trousers - L1</t>
  </si>
  <si>
    <t>Trousers - XL1</t>
  </si>
  <si>
    <t>Trousers - XXXL1</t>
  </si>
  <si>
    <t>Boots - 5</t>
  </si>
  <si>
    <t>Boots</t>
  </si>
  <si>
    <t>Boots - 5.5</t>
  </si>
  <si>
    <t>Boots - 6.5</t>
  </si>
  <si>
    <t>Boots - 7</t>
  </si>
  <si>
    <t>Boots - 8</t>
  </si>
  <si>
    <t>Boots - 9</t>
  </si>
  <si>
    <t>Boots - 10.5</t>
  </si>
  <si>
    <t>Boots - 12</t>
  </si>
  <si>
    <t>Felling Bar &amp; Tongs - S4</t>
  </si>
  <si>
    <t>Felling Equipment</t>
  </si>
  <si>
    <t>Felling Bar &amp; Tongs - S5</t>
  </si>
  <si>
    <t>Felling Bar &amp; Tongs - L1</t>
  </si>
  <si>
    <t>Felling Bar &amp; Tongs - L2</t>
  </si>
  <si>
    <t>Timestamp</t>
  </si>
  <si>
    <t>Action Type</t>
  </si>
  <si>
    <t>Equipment ID</t>
  </si>
  <si>
    <t>Trainer Name</t>
  </si>
  <si>
    <t>Candidate Name</t>
  </si>
  <si>
    <t>Assessment Date</t>
  </si>
  <si>
    <t>Inspection Result</t>
  </si>
  <si>
    <t>Notes / Damage Details</t>
  </si>
  <si>
    <t>2026-10-13 14:54:45</t>
  </si>
  <si>
    <t>Check Out for Course</t>
  </si>
  <si>
    <t>["CS-01"]</t>
  </si>
  <si>
    <t>Simon Harrison</t>
  </si>
  <si>
    <t>Joe bloggs</t>
  </si>
  <si>
    <t>2026-10-14</t>
  </si>
  <si>
    <t>Pass</t>
  </si>
  <si>
    <t>2026-10-13 14:56:31</t>
  </si>
  <si>
    <t>Report Maintenance / Damage</t>
  </si>
  <si>
    <t>["CS-02"]</t>
  </si>
  <si>
    <t>n/a</t>
  </si>
  <si>
    <t>Chain needs replacing</t>
  </si>
  <si>
    <t>13/10/2026 15:30:22</t>
  </si>
  <si>
    <t>["Chainsaw-01"]</t>
  </si>
  <si>
    <t>Joe Bloggs</t>
  </si>
  <si>
    <t>Not Inspected</t>
  </si>
  <si>
    <t>13/10/2026 15:38:15</t>
  </si>
  <si>
    <t>Update Assessment Date</t>
  </si>
  <si>
    <t>14/10/2026</t>
  </si>
  <si>
    <t>Assessment date updated via live dashboard</t>
  </si>
  <si>
    <t>13/10/2026 15:45:17</t>
  </si>
  <si>
    <t>Return / Check In</t>
  </si>
  <si>
    <t>nan</t>
  </si>
  <si>
    <t>13/10/2026</t>
  </si>
  <si>
    <t>14/10/2026 10:24:29</t>
  </si>
  <si>
    <t>14/10/2026 10:25:05</t>
  </si>
  <si>
    <t>14/10/2026 12:47:03</t>
  </si>
  <si>
    <t>Simon</t>
  </si>
  <si>
    <t>Dave</t>
  </si>
  <si>
    <t>15/10/2026</t>
  </si>
  <si>
    <t>Status</t>
  </si>
  <si>
    <t>Instuctor / Assessor Name</t>
  </si>
  <si>
    <t>Customer Name</t>
  </si>
  <si>
    <t>Last Inspection</t>
  </si>
  <si>
    <t>Notes / Damage</t>
  </si>
  <si>
    <t>🔴 IN USE</t>
  </si>
  <si>
    <t>🟢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</si>
</sst>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b/>
        <color theme="5" tint="-0.24994659260841701"/>
      </font>
      <fill>
        <patternFill>
          <bgColor theme="5" tint="0.79998168889431442"/>
        </patternFill>
      </fill>
    </dxf>
    <dxf>
      <font>
        <strike val="0"/>
        <outline val="0"/>
        <shadow val="0"/>
        <vertAlign val="baseline"/>
        <name val="Segoe UI"/>
        <family val="2"/>
      </font>
      <numFmt numFmtId="0" formatCode="General"/>
      <alignment horizontal="center" vertical="bottom"/>
    </dxf>
    <dxf>
      <font>
        <strike val="0"/>
        <outline val="0"/>
        <shadow val="0"/>
        <vertAlign val="baseline"/>
        <name val="Segoe UI"/>
        <family val="2"/>
      </font>
      <numFmt numFmtId="0" formatCode="General"/>
      <alignment horizontal="center" vertical="bottom"/>
    </dxf>
    <dxf>
      <font>
        <strike val="0"/>
        <outline val="0"/>
        <shadow val="0"/>
        <vertAlign val="baseline"/>
        <name val="Segoe UI"/>
        <family val="2"/>
      </font>
      <numFmt numFmtId="164" formatCode="dd/mm/yyyy;@"/>
      <alignment horizontal="center" vertical="bottom"/>
    </dxf>
    <dxf>
      <font>
        <strike val="0"/>
        <outline val="0"/>
        <shadow val="0"/>
        <vertAlign val="baseline"/>
        <name val="Segoe UI"/>
        <family val="2"/>
      </font>
      <numFmt numFmtId="0" formatCode="General"/>
      <alignment horizontal="center" vertical="bottom"/>
    </dxf>
    <dxf>
      <font>
        <strike val="0"/>
        <outline val="0"/>
        <shadow val="0"/>
        <vertAlign val="baseline"/>
        <name val="Segoe UI"/>
        <family val="2"/>
      </font>
      <numFmt numFmtId="0" formatCode="General"/>
      <alignment horizontal="center" vertical="bottom"/>
    </dxf>
    <dxf>
      <font>
        <strike val="0"/>
        <outline val="0"/>
        <shadow val="0"/>
        <vertAlign val="baseline"/>
        <name val="Segoe UI"/>
        <family val="2"/>
      </font>
      <numFmt numFmtId="0" formatCode="General"/>
      <alignment horizontal="center" vertical="bottom"/>
    </dxf>
    <dxf>
      <font>
        <b/>
        <strike val="0"/>
        <outline val="0"/>
        <shadow val="0"/>
        <vertAlign val="baseline"/>
        <name val="Segoe UI"/>
        <family val="2"/>
      </font>
      <alignment horizontal="center" vertical="bottom"/>
    </dxf>
    <dxf>
      <font>
        <b/>
        <strike val="0"/>
        <outline val="0"/>
        <shadow val="0"/>
        <vertAlign val="baseline"/>
        <name val="Segoe UI"/>
        <family val="2"/>
      </font>
      <alignment horizontal="center" vertical="bottom"/>
    </dxf>
    <dxf>
      <font>
        <strike val="0"/>
        <outline val="0"/>
        <shadow val="0"/>
        <vertAlign val="baseline"/>
        <name val="Segoe UI"/>
        <family val="2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Segoe UI"/>
        <family val="2"/>
      </font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/>
      <border outline="0">
        <left/>
        <right/>
        <top style="thin">
          <color theme="4" tint="0.39997558519241921"/>
        </top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/>
      <border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Segoe UI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Segoe UI"/>
        <family val="2"/>
      </font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quipment_Master" displayName="Equipment_Master" ref="A1:B1048576" totalsRowShown="0" headerRowDxfId="16" dataDxfId="15" tableBorderDxfId="14">
  <autoFilter ref="A1:B1048576" xr:uid="{00000000-0009-0000-0100-000001000000}"/>
  <tableColumns count="2">
    <tableColumn id="1" xr3:uid="{00000000-0010-0000-0000-000001000000}" name="Asset ID" dataDxfId="13"/>
    <tableColumn id="2" xr3:uid="{00000000-0010-0000-0000-000002000000}" name="Category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vement_Log" displayName="Movement_Log" ref="A1:H2" insertRow="1" totalsRowShown="0">
  <autoFilter ref="A1:H2" xr:uid="{00000000-0009-0000-0100-000002000000}"/>
  <tableColumns count="8">
    <tableColumn id="1" xr3:uid="{00000000-0010-0000-0100-000001000000}" name="Timestamp"/>
    <tableColumn id="2" xr3:uid="{00000000-0010-0000-0100-000002000000}" name="Action Type"/>
    <tableColumn id="3" xr3:uid="{00000000-0010-0000-0100-000003000000}" name="Equipment ID"/>
    <tableColumn id="4" xr3:uid="{00000000-0010-0000-0100-000004000000}" name="Trainer Name"/>
    <tableColumn id="5" xr3:uid="{00000000-0010-0000-0100-000005000000}" name="Candidate Name"/>
    <tableColumn id="6" xr3:uid="{00000000-0010-0000-0100-000006000000}" name="Assessment Date"/>
    <tableColumn id="7" xr3:uid="{00000000-0010-0000-0100-000007000000}" name="Inspection Result"/>
    <tableColumn id="8" xr3:uid="{00000000-0010-0000-0100-000008000000}" name="Notes / Damage Detai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ve_Availability" displayName="Live_Availability" ref="A1:H91" totalsRowShown="0" headerRowDxfId="11" dataDxfId="10">
  <autoFilter ref="A1:H91" xr:uid="{00000000-0009-0000-0100-000003000000}"/>
  <tableColumns count="8">
    <tableColumn id="1" xr3:uid="{00000000-0010-0000-0200-000001000000}" name="Asset ID" dataDxfId="9"/>
    <tableColumn id="2" xr3:uid="{00000000-0010-0000-0200-000002000000}" name="Category" dataDxfId="8"/>
    <tableColumn id="3" xr3:uid="{00000000-0010-0000-0200-000003000000}" name="Status" dataDxfId="7">
      <calculatedColumnFormula>_xlfn.LET( _xlpm.LatestAction, _xlfn.XLOOKUP("*" &amp; A2 &amp; "*", 'Form Responses 1'!C:C, 'Form Responses 1'!B:B, "Available", 2, -1), _xlpm.LatestInsp, _xlfn.XLOOKUP("*" &amp; A2 &amp; "*", 'Form Responses 1'!C:C, 'Form Responses 1'!G:G, "", 2, -1), _xlpm.LatestDate, _xlfn.XLOOKUP("*" &amp; A2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calculatedColumnFormula>
    </tableColumn>
    <tableColumn id="9" xr3:uid="{00000000-0010-0000-0200-000009000000}" name="Instuctor / Assessor Name" dataDxfId="6">
      <calculatedColumnFormula>_xlfn.LET( _xlpm.LatestAction, _xlfn.XLOOKUP("*" &amp; A2 &amp; "*", 'Form Responses 1'!C:C, 'Form Responses 1'!B:B, "", 2, -1), _xlpm.LatestTrainer, _xlfn.XLOOKUP("*" &amp; A2 &amp; "*", 'Form Responses 1'!C:C, 'Form Responses 1'!D:D, "", 2, -1), IF(OR(_xlpm.LatestAction = "Final Return to General Stock", _xlpm.LatestAction = ""), "", _xlpm.LatestTrainer) )</calculatedColumnFormula>
    </tableColumn>
    <tableColumn id="4" xr3:uid="{00000000-0010-0000-0200-000004000000}" name="Customer Name" dataDxfId="5">
      <calculatedColumnFormula>_xlfn.LET( _xlpm.LatestAction, _xlfn.XLOOKUP("*" &amp; A2 &amp; "*", 'Form Responses 1'!C:C, 'Form Responses 1'!B:B, "", 2, -1), _xlpm.LatestCand, _xlfn.XLOOKUP("*" &amp; A2 &amp; "*", 'Form Responses 1'!C:C, 'Form Responses 1'!E:E, "", 2, -1), IF(OR(_xlpm.LatestAction = "Final Return to General Stock", _xlpm.LatestAction = ""), "", _xlpm.LatestCand) )</calculatedColumnFormula>
    </tableColumn>
    <tableColumn id="5" xr3:uid="{00000000-0010-0000-0200-000005000000}" name="Assessment Date" dataDxfId="4">
      <calculatedColumnFormula>_xlfn.LET( _xlpm.LatestAction, _xlfn.XLOOKUP("*" &amp; A2 &amp; "*", 'Form Responses 1'!C:C, 'Form Responses 1'!B:B, "", 2, -1), _xlpm.LatestDate, _xlfn.XLOOKUP("*" &amp; A2 &amp; "*", 'Form Responses 1'!C:C, 'Form Responses 1'!F:F, "", 2, -1), IF(OR(_xlpm.LatestAction = "Final Return to General Stock", _xlpm.LatestAction = ""), "", _xlpm.LatestDate) )</calculatedColumnFormula>
    </tableColumn>
    <tableColumn id="7" xr3:uid="{00000000-0010-0000-0200-000007000000}" name="Last Inspection" dataDxfId="3">
      <calculatedColumnFormula>_xlfn.XLOOKUP("*" &amp; A2 &amp; "*", 'Form Responses 1'!C:C, 'Form Responses 1'!G:G, "Not Inspected", 2, -1)</calculatedColumnFormula>
    </tableColumn>
    <tableColumn id="8" xr3:uid="{00000000-0010-0000-0200-000008000000}" name="Notes / Damage" dataDxfId="2">
      <calculatedColumnFormula>_xlfn.XLOOKUP("*" &amp; A2 &amp; "*", 'Form Responses 1'!C:C, 'Form Responses 1'!H:H, "", 2, -1)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topLeftCell="A10" workbookViewId="0">
      <selection activeCell="E22" sqref="E22"/>
    </sheetView>
  </sheetViews>
  <sheetFormatPr defaultRowHeight="16.5" x14ac:dyDescent="0.3"/>
  <cols>
    <col min="1" max="1" width="26" style="13" bestFit="1" customWidth="1"/>
    <col min="2" max="2" width="20.42578125" style="13" bestFit="1" customWidth="1"/>
  </cols>
  <sheetData>
    <row r="1" spans="1:2" s="1" customFormat="1" ht="15.75" customHeight="1" x14ac:dyDescent="0.3">
      <c r="A1" s="4" t="s">
        <v>0</v>
      </c>
      <c r="B1" s="4" t="s">
        <v>1</v>
      </c>
    </row>
    <row r="2" spans="1:2" x14ac:dyDescent="0.3">
      <c r="A2" s="6" t="s">
        <v>2</v>
      </c>
      <c r="B2" s="6" t="s">
        <v>3</v>
      </c>
    </row>
    <row r="3" spans="1:2" x14ac:dyDescent="0.3">
      <c r="A3" s="6" t="s">
        <v>4</v>
      </c>
      <c r="B3" s="6" t="s">
        <v>3</v>
      </c>
    </row>
    <row r="4" spans="1:2" x14ac:dyDescent="0.3">
      <c r="A4" s="6" t="s">
        <v>5</v>
      </c>
      <c r="B4" s="6" t="s">
        <v>3</v>
      </c>
    </row>
    <row r="5" spans="1:2" x14ac:dyDescent="0.3">
      <c r="A5" s="6" t="s">
        <v>6</v>
      </c>
      <c r="B5" s="6" t="s">
        <v>3</v>
      </c>
    </row>
    <row r="6" spans="1:2" x14ac:dyDescent="0.3">
      <c r="A6" s="6" t="s">
        <v>7</v>
      </c>
      <c r="B6" s="6" t="s">
        <v>3</v>
      </c>
    </row>
    <row r="7" spans="1:2" x14ac:dyDescent="0.3">
      <c r="A7" s="6" t="s">
        <v>8</v>
      </c>
      <c r="B7" s="6" t="s">
        <v>3</v>
      </c>
    </row>
    <row r="8" spans="1:2" x14ac:dyDescent="0.3">
      <c r="A8" s="6" t="s">
        <v>9</v>
      </c>
      <c r="B8" s="6" t="s">
        <v>3</v>
      </c>
    </row>
    <row r="9" spans="1:2" x14ac:dyDescent="0.3">
      <c r="A9" s="6" t="s">
        <v>10</v>
      </c>
      <c r="B9" s="6" t="s">
        <v>3</v>
      </c>
    </row>
    <row r="10" spans="1:2" x14ac:dyDescent="0.3">
      <c r="A10" s="6" t="s">
        <v>11</v>
      </c>
      <c r="B10" s="6" t="s">
        <v>3</v>
      </c>
    </row>
    <row r="11" spans="1:2" x14ac:dyDescent="0.3">
      <c r="A11" s="6" t="s">
        <v>12</v>
      </c>
      <c r="B11" s="6" t="s">
        <v>3</v>
      </c>
    </row>
    <row r="12" spans="1:2" x14ac:dyDescent="0.3">
      <c r="A12" s="6" t="s">
        <v>13</v>
      </c>
      <c r="B12" s="6" t="s">
        <v>3</v>
      </c>
    </row>
    <row r="13" spans="1:2" x14ac:dyDescent="0.3">
      <c r="A13" s="6" t="s">
        <v>14</v>
      </c>
      <c r="B13" s="6" t="s">
        <v>3</v>
      </c>
    </row>
    <row r="14" spans="1:2" x14ac:dyDescent="0.3">
      <c r="A14" s="6" t="s">
        <v>15</v>
      </c>
      <c r="B14" s="6" t="s">
        <v>3</v>
      </c>
    </row>
    <row r="15" spans="1:2" x14ac:dyDescent="0.3">
      <c r="A15" s="9" t="s">
        <v>16</v>
      </c>
      <c r="B15" s="9" t="s">
        <v>17</v>
      </c>
    </row>
    <row r="16" spans="1:2" x14ac:dyDescent="0.3">
      <c r="A16" s="9" t="s">
        <v>18</v>
      </c>
      <c r="B16" s="9" t="s">
        <v>17</v>
      </c>
    </row>
    <row r="17" spans="1:2" x14ac:dyDescent="0.3">
      <c r="A17" s="9" t="s">
        <v>19</v>
      </c>
      <c r="B17" s="9" t="s">
        <v>17</v>
      </c>
    </row>
    <row r="18" spans="1:2" x14ac:dyDescent="0.3">
      <c r="A18" s="9" t="s">
        <v>20</v>
      </c>
      <c r="B18" s="9" t="s">
        <v>17</v>
      </c>
    </row>
    <row r="19" spans="1:2" x14ac:dyDescent="0.3">
      <c r="A19" s="9" t="s">
        <v>21</v>
      </c>
      <c r="B19" s="9" t="s">
        <v>17</v>
      </c>
    </row>
    <row r="20" spans="1:2" x14ac:dyDescent="0.3">
      <c r="A20" s="9" t="s">
        <v>22</v>
      </c>
      <c r="B20" s="9" t="s">
        <v>17</v>
      </c>
    </row>
    <row r="21" spans="1:2" x14ac:dyDescent="0.3">
      <c r="A21" s="9" t="s">
        <v>23</v>
      </c>
      <c r="B21" s="9" t="s">
        <v>17</v>
      </c>
    </row>
    <row r="22" spans="1:2" x14ac:dyDescent="0.3">
      <c r="A22" s="9" t="s">
        <v>24</v>
      </c>
      <c r="B22" s="9" t="s">
        <v>17</v>
      </c>
    </row>
    <row r="23" spans="1:2" x14ac:dyDescent="0.3">
      <c r="A23" s="10" t="s">
        <v>25</v>
      </c>
      <c r="B23" s="10" t="s">
        <v>26</v>
      </c>
    </row>
    <row r="24" spans="1:2" x14ac:dyDescent="0.3">
      <c r="A24" s="10" t="s">
        <v>27</v>
      </c>
      <c r="B24" s="10" t="s">
        <v>26</v>
      </c>
    </row>
    <row r="25" spans="1:2" x14ac:dyDescent="0.3">
      <c r="A25" s="10" t="s">
        <v>28</v>
      </c>
      <c r="B25" s="10" t="s">
        <v>26</v>
      </c>
    </row>
    <row r="26" spans="1:2" x14ac:dyDescent="0.3">
      <c r="A26" s="10" t="s">
        <v>29</v>
      </c>
      <c r="B26" s="10" t="s">
        <v>26</v>
      </c>
    </row>
    <row r="27" spans="1:2" x14ac:dyDescent="0.3">
      <c r="A27" s="10" t="s">
        <v>30</v>
      </c>
      <c r="B27" s="10" t="s">
        <v>26</v>
      </c>
    </row>
    <row r="28" spans="1:2" x14ac:dyDescent="0.3">
      <c r="A28" s="10" t="s">
        <v>31</v>
      </c>
      <c r="B28" s="10" t="s">
        <v>26</v>
      </c>
    </row>
    <row r="29" spans="1:2" x14ac:dyDescent="0.3">
      <c r="A29" s="10" t="s">
        <v>32</v>
      </c>
      <c r="B29" s="10" t="s">
        <v>26</v>
      </c>
    </row>
    <row r="30" spans="1:2" x14ac:dyDescent="0.3">
      <c r="A30" s="10" t="s">
        <v>33</v>
      </c>
      <c r="B30" s="10" t="s">
        <v>26</v>
      </c>
    </row>
    <row r="31" spans="1:2" x14ac:dyDescent="0.3">
      <c r="A31" s="10" t="s">
        <v>34</v>
      </c>
      <c r="B31" s="10" t="s">
        <v>26</v>
      </c>
    </row>
    <row r="32" spans="1:2" x14ac:dyDescent="0.3">
      <c r="A32" s="10" t="s">
        <v>35</v>
      </c>
      <c r="B32" s="10" t="s">
        <v>26</v>
      </c>
    </row>
    <row r="33" spans="1:2" x14ac:dyDescent="0.3">
      <c r="A33" s="10" t="s">
        <v>36</v>
      </c>
      <c r="B33" s="10" t="s">
        <v>26</v>
      </c>
    </row>
    <row r="34" spans="1:2" x14ac:dyDescent="0.3">
      <c r="A34" s="10" t="s">
        <v>37</v>
      </c>
      <c r="B34" s="10" t="s">
        <v>26</v>
      </c>
    </row>
    <row r="35" spans="1:2" x14ac:dyDescent="0.3">
      <c r="A35" s="10" t="s">
        <v>38</v>
      </c>
      <c r="B35" s="10" t="s">
        <v>26</v>
      </c>
    </row>
    <row r="36" spans="1:2" x14ac:dyDescent="0.3">
      <c r="A36" s="11" t="s">
        <v>39</v>
      </c>
      <c r="B36" s="11" t="s">
        <v>40</v>
      </c>
    </row>
    <row r="37" spans="1:2" x14ac:dyDescent="0.3">
      <c r="A37" s="11" t="s">
        <v>41</v>
      </c>
      <c r="B37" s="11" t="s">
        <v>40</v>
      </c>
    </row>
    <row r="38" spans="1:2" x14ac:dyDescent="0.3">
      <c r="A38" s="11" t="s">
        <v>42</v>
      </c>
      <c r="B38" s="11" t="s">
        <v>40</v>
      </c>
    </row>
    <row r="39" spans="1:2" x14ac:dyDescent="0.3">
      <c r="A39" s="11" t="s">
        <v>43</v>
      </c>
      <c r="B39" s="11" t="s">
        <v>40</v>
      </c>
    </row>
    <row r="40" spans="1:2" x14ac:dyDescent="0.3">
      <c r="A40" s="11" t="s">
        <v>44</v>
      </c>
      <c r="B40" s="11" t="s">
        <v>40</v>
      </c>
    </row>
    <row r="41" spans="1:2" x14ac:dyDescent="0.3">
      <c r="A41" s="11" t="s">
        <v>45</v>
      </c>
      <c r="B41" s="11" t="s">
        <v>40</v>
      </c>
    </row>
    <row r="42" spans="1:2" x14ac:dyDescent="0.3">
      <c r="A42" s="11" t="s">
        <v>46</v>
      </c>
      <c r="B42" s="11" t="s">
        <v>40</v>
      </c>
    </row>
    <row r="43" spans="1:2" x14ac:dyDescent="0.3">
      <c r="A43" s="11" t="s">
        <v>47</v>
      </c>
      <c r="B43" s="11" t="s">
        <v>40</v>
      </c>
    </row>
    <row r="44" spans="1:2" x14ac:dyDescent="0.3">
      <c r="A44" s="12" t="s">
        <v>48</v>
      </c>
      <c r="B44" s="12" t="s">
        <v>49</v>
      </c>
    </row>
    <row r="45" spans="1:2" x14ac:dyDescent="0.3">
      <c r="A45" s="12" t="s">
        <v>50</v>
      </c>
      <c r="B45" s="12" t="s">
        <v>49</v>
      </c>
    </row>
    <row r="46" spans="1:2" x14ac:dyDescent="0.3">
      <c r="A46" s="12" t="s">
        <v>51</v>
      </c>
      <c r="B46" s="12" t="s">
        <v>49</v>
      </c>
    </row>
    <row r="47" spans="1:2" x14ac:dyDescent="0.3">
      <c r="A47" s="12" t="s">
        <v>52</v>
      </c>
      <c r="B47" s="12" t="s">
        <v>49</v>
      </c>
    </row>
    <row r="48" spans="1:2" x14ac:dyDescent="0.3">
      <c r="A48" s="12" t="s">
        <v>50</v>
      </c>
      <c r="B48" s="12" t="s">
        <v>49</v>
      </c>
    </row>
    <row r="49" spans="1:2" x14ac:dyDescent="0.3">
      <c r="A49" s="12" t="s">
        <v>51</v>
      </c>
      <c r="B49" s="12" t="s">
        <v>49</v>
      </c>
    </row>
    <row r="50" spans="1:2" x14ac:dyDescent="0.3">
      <c r="A50" s="12" t="s">
        <v>52</v>
      </c>
      <c r="B50" s="12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activeCell="C12" sqref="C12"/>
    </sheetView>
  </sheetViews>
  <sheetFormatPr defaultRowHeight="15" x14ac:dyDescent="0.25"/>
  <cols>
    <col min="1" max="1" width="15.5703125" bestFit="1" customWidth="1"/>
    <col min="2" max="2" width="30.42578125" bestFit="1" customWidth="1"/>
    <col min="3" max="3" width="26" customWidth="1"/>
    <col min="4" max="4" width="23.140625" bestFit="1" customWidth="1"/>
    <col min="5" max="5" width="28.140625" bestFit="1" customWidth="1"/>
    <col min="6" max="6" width="23" customWidth="1"/>
    <col min="7" max="7" width="33.140625" customWidth="1"/>
    <col min="8" max="8" width="24.85546875" bestFit="1" customWidth="1"/>
    <col min="9" max="9" width="18.42578125" customWidth="1"/>
  </cols>
  <sheetData>
    <row r="1" spans="1: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25">
      <c r="A2" s="2"/>
      <c r="F2" s="3"/>
    </row>
    <row r="3" spans="1:8" x14ac:dyDescent="0.25">
      <c r="A3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</row>
    <row r="4" spans="1:8" x14ac:dyDescent="0.25">
      <c r="A4" t="s">
        <v>68</v>
      </c>
      <c r="B4" t="s">
        <v>69</v>
      </c>
      <c r="C4" t="s">
        <v>70</v>
      </c>
      <c r="D4" t="s">
        <v>64</v>
      </c>
      <c r="E4" t="s">
        <v>71</v>
      </c>
      <c r="G4" t="s">
        <v>67</v>
      </c>
      <c r="H4" t="s">
        <v>72</v>
      </c>
    </row>
    <row r="5" spans="1:8" x14ac:dyDescent="0.25">
      <c r="A5" t="s">
        <v>73</v>
      </c>
      <c r="B5" t="s">
        <v>62</v>
      </c>
      <c r="C5" t="s">
        <v>74</v>
      </c>
      <c r="D5" t="s">
        <v>64</v>
      </c>
      <c r="E5" t="s">
        <v>75</v>
      </c>
      <c r="G5" t="s">
        <v>76</v>
      </c>
    </row>
    <row r="6" spans="1:8" x14ac:dyDescent="0.25">
      <c r="A6" t="s">
        <v>77</v>
      </c>
      <c r="B6" t="s">
        <v>78</v>
      </c>
      <c r="C6" t="s">
        <v>74</v>
      </c>
      <c r="F6" t="s">
        <v>79</v>
      </c>
      <c r="G6" t="s">
        <v>67</v>
      </c>
      <c r="H6" t="s">
        <v>80</v>
      </c>
    </row>
    <row r="7" spans="1:8" x14ac:dyDescent="0.25">
      <c r="A7" t="s">
        <v>81</v>
      </c>
      <c r="B7" t="s">
        <v>82</v>
      </c>
      <c r="C7" t="s">
        <v>74</v>
      </c>
      <c r="D7" t="s">
        <v>83</v>
      </c>
      <c r="E7" t="s">
        <v>83</v>
      </c>
      <c r="F7" t="s">
        <v>84</v>
      </c>
      <c r="G7" t="s">
        <v>67</v>
      </c>
    </row>
    <row r="8" spans="1:8" x14ac:dyDescent="0.25">
      <c r="A8" t="s">
        <v>85</v>
      </c>
      <c r="B8" t="s">
        <v>62</v>
      </c>
      <c r="C8" t="s">
        <v>74</v>
      </c>
      <c r="D8" t="s">
        <v>64</v>
      </c>
      <c r="F8" t="s">
        <v>79</v>
      </c>
      <c r="G8" t="s">
        <v>67</v>
      </c>
    </row>
    <row r="9" spans="1:8" x14ac:dyDescent="0.25">
      <c r="A9" t="s">
        <v>86</v>
      </c>
      <c r="B9" t="s">
        <v>82</v>
      </c>
      <c r="C9" t="s">
        <v>74</v>
      </c>
      <c r="D9" t="s">
        <v>64</v>
      </c>
      <c r="F9" t="s">
        <v>79</v>
      </c>
      <c r="G9" t="s">
        <v>67</v>
      </c>
    </row>
    <row r="10" spans="1:8" x14ac:dyDescent="0.25">
      <c r="A10" t="s">
        <v>87</v>
      </c>
      <c r="B10" t="s">
        <v>62</v>
      </c>
      <c r="C10" t="s">
        <v>74</v>
      </c>
      <c r="D10" t="s">
        <v>88</v>
      </c>
      <c r="E10" t="s">
        <v>89</v>
      </c>
      <c r="F10" t="s">
        <v>90</v>
      </c>
      <c r="G10" t="s">
        <v>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1"/>
  <sheetViews>
    <sheetView workbookViewId="0">
      <pane ySplit="1" topLeftCell="A2" activePane="bottomLeft" state="frozen"/>
      <selection pane="bottomLeft" sqref="A1:B1048576"/>
    </sheetView>
  </sheetViews>
  <sheetFormatPr defaultRowHeight="16.5" x14ac:dyDescent="0.3"/>
  <cols>
    <col min="1" max="1" width="26" style="13" bestFit="1" customWidth="1"/>
    <col min="2" max="2" width="20.42578125" style="13" bestFit="1" customWidth="1"/>
    <col min="3" max="3" width="19.5703125" style="7" bestFit="1" customWidth="1"/>
    <col min="4" max="4" width="34.7109375" style="7" bestFit="1" customWidth="1"/>
    <col min="5" max="5" width="23.7109375" style="7" bestFit="1" customWidth="1"/>
    <col min="6" max="6" width="24.42578125" style="8" bestFit="1" customWidth="1"/>
    <col min="7" max="7" width="28.140625" style="7" bestFit="1" customWidth="1"/>
    <col min="8" max="8" width="25" style="7" customWidth="1"/>
    <col min="9" max="10" width="9.140625" style="7" customWidth="1"/>
    <col min="11" max="16384" width="9.140625" style="7"/>
  </cols>
  <sheetData>
    <row r="1" spans="1:8" s="4" customFormat="1" ht="17.25" customHeight="1" x14ac:dyDescent="0.3">
      <c r="A1" s="4" t="s">
        <v>0</v>
      </c>
      <c r="B1" s="4" t="s">
        <v>1</v>
      </c>
      <c r="C1" s="4" t="s">
        <v>91</v>
      </c>
      <c r="D1" s="4" t="s">
        <v>92</v>
      </c>
      <c r="E1" s="4" t="s">
        <v>93</v>
      </c>
      <c r="F1" s="5" t="s">
        <v>58</v>
      </c>
      <c r="G1" s="4" t="s">
        <v>94</v>
      </c>
      <c r="H1" s="4" t="s">
        <v>95</v>
      </c>
    </row>
    <row r="2" spans="1:8" x14ac:dyDescent="0.3">
      <c r="A2" s="6" t="s">
        <v>2</v>
      </c>
      <c r="B2" s="6" t="s">
        <v>3</v>
      </c>
      <c r="C2" s="7" t="s">
        <v>96</v>
      </c>
      <c r="D2" s="7" t="s">
        <v>88</v>
      </c>
      <c r="E2" s="7" t="s">
        <v>89</v>
      </c>
      <c r="F2" s="8" t="s">
        <v>90</v>
      </c>
      <c r="G2" s="7" t="s">
        <v>76</v>
      </c>
      <c r="H2"/>
    </row>
    <row r="3" spans="1:8" x14ac:dyDescent="0.3">
      <c r="A3" s="6" t="s">
        <v>4</v>
      </c>
      <c r="B3" s="6" t="s">
        <v>3</v>
      </c>
      <c r="C3" s="7" t="s">
        <v>97</v>
      </c>
      <c r="E3"/>
      <c r="F3"/>
      <c r="G3" s="7" t="s">
        <v>76</v>
      </c>
    </row>
    <row r="4" spans="1:8" x14ac:dyDescent="0.3">
      <c r="A4" s="6" t="s">
        <v>5</v>
      </c>
      <c r="B4" s="6" t="s">
        <v>3</v>
      </c>
      <c r="C4" s="7" t="s">
        <v>97</v>
      </c>
      <c r="D4"/>
      <c r="E4"/>
      <c r="F4"/>
      <c r="G4" s="7" t="s">
        <v>76</v>
      </c>
      <c r="H4"/>
    </row>
    <row r="5" spans="1:8" x14ac:dyDescent="0.3">
      <c r="A5" s="6" t="s">
        <v>6</v>
      </c>
      <c r="B5" s="6" t="s">
        <v>3</v>
      </c>
      <c r="C5" s="7" t="s">
        <v>97</v>
      </c>
      <c r="D5"/>
      <c r="E5"/>
      <c r="F5"/>
      <c r="G5" s="7" t="s">
        <v>76</v>
      </c>
      <c r="H5"/>
    </row>
    <row r="6" spans="1:8" x14ac:dyDescent="0.3">
      <c r="A6" s="6" t="s">
        <v>7</v>
      </c>
      <c r="B6" s="6" t="s">
        <v>3</v>
      </c>
      <c r="C6" s="7" t="s">
        <v>97</v>
      </c>
      <c r="D6"/>
      <c r="E6"/>
      <c r="F6"/>
      <c r="G6" s="7" t="s">
        <v>76</v>
      </c>
      <c r="H6"/>
    </row>
    <row r="7" spans="1:8" x14ac:dyDescent="0.3">
      <c r="A7" s="6" t="s">
        <v>8</v>
      </c>
      <c r="B7" s="6" t="s">
        <v>3</v>
      </c>
      <c r="C7" s="7" t="s">
        <v>97</v>
      </c>
      <c r="D7"/>
      <c r="E7"/>
      <c r="F7"/>
      <c r="G7" s="7" t="s">
        <v>76</v>
      </c>
      <c r="H7"/>
    </row>
    <row r="8" spans="1:8" x14ac:dyDescent="0.3">
      <c r="A8" s="6" t="s">
        <v>9</v>
      </c>
      <c r="B8" s="6" t="s">
        <v>3</v>
      </c>
      <c r="C8" s="7" t="s">
        <v>97</v>
      </c>
      <c r="D8"/>
      <c r="E8"/>
      <c r="F8"/>
      <c r="G8" s="7" t="s">
        <v>76</v>
      </c>
      <c r="H8"/>
    </row>
    <row r="9" spans="1:8" x14ac:dyDescent="0.3">
      <c r="A9" s="6" t="s">
        <v>10</v>
      </c>
      <c r="B9" s="6" t="s">
        <v>3</v>
      </c>
      <c r="C9" s="7" t="s">
        <v>97</v>
      </c>
      <c r="D9"/>
      <c r="E9"/>
      <c r="F9"/>
      <c r="G9" s="7" t="s">
        <v>76</v>
      </c>
      <c r="H9"/>
    </row>
    <row r="10" spans="1:8" x14ac:dyDescent="0.3">
      <c r="A10" s="6" t="s">
        <v>11</v>
      </c>
      <c r="B10" s="6" t="s">
        <v>3</v>
      </c>
      <c r="C10" s="7" t="s">
        <v>97</v>
      </c>
      <c r="D10"/>
      <c r="E10"/>
      <c r="F10"/>
      <c r="G10" s="7" t="s">
        <v>76</v>
      </c>
      <c r="H10"/>
    </row>
    <row r="11" spans="1:8" x14ac:dyDescent="0.3">
      <c r="A11" s="6" t="s">
        <v>12</v>
      </c>
      <c r="B11" s="6" t="s">
        <v>3</v>
      </c>
      <c r="C11" s="7" t="s">
        <v>97</v>
      </c>
      <c r="D11"/>
      <c r="E11"/>
      <c r="F11"/>
      <c r="G11" s="7" t="s">
        <v>76</v>
      </c>
      <c r="H11"/>
    </row>
    <row r="12" spans="1:8" x14ac:dyDescent="0.3">
      <c r="A12" s="6" t="s">
        <v>13</v>
      </c>
      <c r="B12" s="6" t="s">
        <v>3</v>
      </c>
      <c r="C12" s="7" t="s">
        <v>97</v>
      </c>
      <c r="D12"/>
      <c r="E12"/>
      <c r="F12"/>
      <c r="G12" s="7" t="s">
        <v>76</v>
      </c>
      <c r="H12"/>
    </row>
    <row r="13" spans="1:8" x14ac:dyDescent="0.3">
      <c r="A13" s="6" t="s">
        <v>14</v>
      </c>
      <c r="B13" s="6" t="s">
        <v>3</v>
      </c>
      <c r="C13" s="7" t="s">
        <v>97</v>
      </c>
      <c r="D13"/>
      <c r="E13"/>
      <c r="F13"/>
      <c r="G13" s="7" t="s">
        <v>76</v>
      </c>
      <c r="H13"/>
    </row>
    <row r="14" spans="1:8" x14ac:dyDescent="0.3">
      <c r="A14" s="6" t="s">
        <v>15</v>
      </c>
      <c r="B14" s="6" t="s">
        <v>3</v>
      </c>
      <c r="C14" s="7" t="s">
        <v>97</v>
      </c>
      <c r="D14"/>
      <c r="E14"/>
      <c r="F14"/>
      <c r="G14" s="7" t="s">
        <v>76</v>
      </c>
      <c r="H14"/>
    </row>
    <row r="15" spans="1:8" x14ac:dyDescent="0.3">
      <c r="A15" s="9" t="s">
        <v>16</v>
      </c>
      <c r="B15" s="9" t="s">
        <v>17</v>
      </c>
      <c r="C15" s="7" t="s">
        <v>97</v>
      </c>
      <c r="D15"/>
      <c r="E15"/>
      <c r="F15"/>
      <c r="G15" s="7" t="s">
        <v>76</v>
      </c>
      <c r="H15"/>
    </row>
    <row r="16" spans="1:8" x14ac:dyDescent="0.3">
      <c r="A16" s="9" t="s">
        <v>18</v>
      </c>
      <c r="B16" s="9" t="s">
        <v>17</v>
      </c>
      <c r="C16" s="7" t="s">
        <v>97</v>
      </c>
      <c r="D16"/>
      <c r="E16"/>
      <c r="F16"/>
      <c r="G16" s="7" t="s">
        <v>76</v>
      </c>
      <c r="H16"/>
    </row>
    <row r="17" spans="1:8" x14ac:dyDescent="0.3">
      <c r="A17" s="9" t="s">
        <v>19</v>
      </c>
      <c r="B17" s="9" t="s">
        <v>17</v>
      </c>
      <c r="C17" s="7" t="s">
        <v>97</v>
      </c>
      <c r="D17"/>
      <c r="E17"/>
      <c r="F17"/>
      <c r="G17" s="7" t="s">
        <v>76</v>
      </c>
      <c r="H17"/>
    </row>
    <row r="18" spans="1:8" x14ac:dyDescent="0.3">
      <c r="A18" s="9" t="s">
        <v>20</v>
      </c>
      <c r="B18" s="9" t="s">
        <v>17</v>
      </c>
      <c r="C18" s="7" t="s">
        <v>97</v>
      </c>
      <c r="D18"/>
      <c r="E18"/>
      <c r="F18"/>
      <c r="G18" s="7" t="s">
        <v>76</v>
      </c>
      <c r="H18"/>
    </row>
    <row r="19" spans="1:8" x14ac:dyDescent="0.3">
      <c r="A19" s="9" t="s">
        <v>21</v>
      </c>
      <c r="B19" s="9" t="s">
        <v>17</v>
      </c>
      <c r="C19" s="7" t="s">
        <v>97</v>
      </c>
      <c r="D19"/>
      <c r="E19"/>
      <c r="F19"/>
      <c r="G19" s="7" t="s">
        <v>76</v>
      </c>
      <c r="H19"/>
    </row>
    <row r="20" spans="1:8" x14ac:dyDescent="0.3">
      <c r="A20" s="9" t="s">
        <v>22</v>
      </c>
      <c r="B20" s="9" t="s">
        <v>17</v>
      </c>
      <c r="C20" s="7" t="s">
        <v>97</v>
      </c>
      <c r="D20"/>
      <c r="E20"/>
      <c r="F20"/>
      <c r="G20" s="7" t="s">
        <v>76</v>
      </c>
      <c r="H20"/>
    </row>
    <row r="21" spans="1:8" x14ac:dyDescent="0.3">
      <c r="A21" s="9" t="s">
        <v>23</v>
      </c>
      <c r="B21" s="9" t="s">
        <v>17</v>
      </c>
      <c r="C21" s="7" t="s">
        <v>97</v>
      </c>
      <c r="D21"/>
      <c r="E21"/>
      <c r="F21"/>
      <c r="G21" s="7" t="s">
        <v>76</v>
      </c>
      <c r="H21"/>
    </row>
    <row r="22" spans="1:8" x14ac:dyDescent="0.3">
      <c r="A22" s="9" t="s">
        <v>24</v>
      </c>
      <c r="B22" s="9" t="s">
        <v>17</v>
      </c>
      <c r="C22" s="7" t="s">
        <v>97</v>
      </c>
      <c r="D22"/>
      <c r="E22"/>
      <c r="F22"/>
      <c r="G22" s="7" t="s">
        <v>76</v>
      </c>
      <c r="H22"/>
    </row>
    <row r="23" spans="1:8" x14ac:dyDescent="0.3">
      <c r="A23" s="10" t="s">
        <v>25</v>
      </c>
      <c r="B23" s="10" t="s">
        <v>26</v>
      </c>
      <c r="C23" s="7" t="s">
        <v>97</v>
      </c>
      <c r="D23"/>
      <c r="E23"/>
      <c r="F23"/>
      <c r="G23" s="7" t="s">
        <v>76</v>
      </c>
      <c r="H23"/>
    </row>
    <row r="24" spans="1:8" x14ac:dyDescent="0.3">
      <c r="A24" s="10" t="s">
        <v>27</v>
      </c>
      <c r="B24" s="10" t="s">
        <v>26</v>
      </c>
      <c r="C24" s="7" t="s">
        <v>97</v>
      </c>
      <c r="D24"/>
      <c r="E24"/>
      <c r="F24"/>
      <c r="G24" s="7" t="s">
        <v>76</v>
      </c>
      <c r="H24"/>
    </row>
    <row r="25" spans="1:8" x14ac:dyDescent="0.3">
      <c r="A25" s="10" t="s">
        <v>28</v>
      </c>
      <c r="B25" s="10" t="s">
        <v>26</v>
      </c>
      <c r="C25" s="7" t="s">
        <v>97</v>
      </c>
      <c r="D25"/>
      <c r="E25"/>
      <c r="F25"/>
      <c r="G25" s="7" t="s">
        <v>76</v>
      </c>
      <c r="H25"/>
    </row>
    <row r="26" spans="1:8" x14ac:dyDescent="0.3">
      <c r="A26" s="10" t="s">
        <v>29</v>
      </c>
      <c r="B26" s="10" t="s">
        <v>26</v>
      </c>
      <c r="C26" s="7" t="s">
        <v>97</v>
      </c>
      <c r="D26"/>
      <c r="E26"/>
      <c r="F26"/>
      <c r="G26" s="7" t="s">
        <v>76</v>
      </c>
      <c r="H26"/>
    </row>
    <row r="27" spans="1:8" x14ac:dyDescent="0.3">
      <c r="A27" s="10" t="s">
        <v>30</v>
      </c>
      <c r="B27" s="10" t="s">
        <v>26</v>
      </c>
      <c r="C27" s="7" t="s">
        <v>97</v>
      </c>
      <c r="D27"/>
      <c r="E27"/>
      <c r="F27"/>
      <c r="G27" s="7" t="s">
        <v>76</v>
      </c>
      <c r="H27"/>
    </row>
    <row r="28" spans="1:8" x14ac:dyDescent="0.3">
      <c r="A28" s="10" t="s">
        <v>31</v>
      </c>
      <c r="B28" s="10" t="s">
        <v>26</v>
      </c>
      <c r="C28" s="7" t="s">
        <v>97</v>
      </c>
      <c r="D28"/>
      <c r="E28"/>
      <c r="F28"/>
      <c r="G28" s="7" t="s">
        <v>76</v>
      </c>
      <c r="H28"/>
    </row>
    <row r="29" spans="1:8" x14ac:dyDescent="0.3">
      <c r="A29" s="10" t="s">
        <v>32</v>
      </c>
      <c r="B29" s="10" t="s">
        <v>26</v>
      </c>
      <c r="C29" s="7" t="s">
        <v>97</v>
      </c>
      <c r="D29"/>
      <c r="E29"/>
      <c r="F29"/>
      <c r="G29" s="7" t="s">
        <v>76</v>
      </c>
      <c r="H29"/>
    </row>
    <row r="30" spans="1:8" x14ac:dyDescent="0.3">
      <c r="A30" s="10" t="s">
        <v>33</v>
      </c>
      <c r="B30" s="10" t="s">
        <v>26</v>
      </c>
      <c r="C30" s="7" t="s">
        <v>97</v>
      </c>
      <c r="D30"/>
      <c r="E30"/>
      <c r="F30"/>
      <c r="G30" s="7" t="s">
        <v>76</v>
      </c>
      <c r="H30"/>
    </row>
    <row r="31" spans="1:8" x14ac:dyDescent="0.3">
      <c r="A31" s="10" t="s">
        <v>34</v>
      </c>
      <c r="B31" s="10" t="s">
        <v>26</v>
      </c>
      <c r="C31" s="7" t="s">
        <v>97</v>
      </c>
      <c r="D31"/>
      <c r="E31"/>
      <c r="F31"/>
      <c r="G31" s="7" t="s">
        <v>76</v>
      </c>
      <c r="H31"/>
    </row>
    <row r="32" spans="1:8" x14ac:dyDescent="0.3">
      <c r="A32" s="10" t="s">
        <v>35</v>
      </c>
      <c r="B32" s="10" t="s">
        <v>26</v>
      </c>
      <c r="C32" s="7" t="s">
        <v>97</v>
      </c>
      <c r="D32"/>
      <c r="E32"/>
      <c r="F32"/>
      <c r="G32" s="7" t="s">
        <v>76</v>
      </c>
      <c r="H32"/>
    </row>
    <row r="33" spans="1:8" x14ac:dyDescent="0.3">
      <c r="A33" s="10" t="s">
        <v>36</v>
      </c>
      <c r="B33" s="10" t="s">
        <v>26</v>
      </c>
      <c r="C33" s="7" t="s">
        <v>97</v>
      </c>
      <c r="D33"/>
      <c r="E33"/>
      <c r="F33"/>
      <c r="G33" s="7" t="s">
        <v>76</v>
      </c>
      <c r="H33"/>
    </row>
    <row r="34" spans="1:8" x14ac:dyDescent="0.3">
      <c r="A34" s="10" t="s">
        <v>37</v>
      </c>
      <c r="B34" s="10" t="s">
        <v>26</v>
      </c>
      <c r="C34" s="7" t="s">
        <v>97</v>
      </c>
      <c r="D34"/>
      <c r="E34"/>
      <c r="F34"/>
      <c r="G34" s="7" t="s">
        <v>76</v>
      </c>
      <c r="H34"/>
    </row>
    <row r="35" spans="1:8" x14ac:dyDescent="0.3">
      <c r="A35" s="10" t="s">
        <v>38</v>
      </c>
      <c r="B35" s="10" t="s">
        <v>26</v>
      </c>
      <c r="C35" s="7" t="s">
        <v>97</v>
      </c>
      <c r="D35"/>
      <c r="E35"/>
      <c r="F35"/>
      <c r="G35" s="7" t="s">
        <v>76</v>
      </c>
      <c r="H35"/>
    </row>
    <row r="36" spans="1:8" x14ac:dyDescent="0.3">
      <c r="A36" s="11" t="s">
        <v>39</v>
      </c>
      <c r="B36" s="11" t="s">
        <v>40</v>
      </c>
      <c r="C36" s="7" t="s">
        <v>97</v>
      </c>
      <c r="D36"/>
      <c r="E36"/>
      <c r="F36"/>
      <c r="G36" s="7" t="s">
        <v>76</v>
      </c>
      <c r="H36"/>
    </row>
    <row r="37" spans="1:8" x14ac:dyDescent="0.3">
      <c r="A37" s="11" t="s">
        <v>41</v>
      </c>
      <c r="B37" s="11" t="s">
        <v>40</v>
      </c>
      <c r="C37" s="7" t="s">
        <v>97</v>
      </c>
      <c r="D37"/>
      <c r="E37"/>
      <c r="F37"/>
      <c r="G37" s="7" t="s">
        <v>76</v>
      </c>
      <c r="H37"/>
    </row>
    <row r="38" spans="1:8" x14ac:dyDescent="0.3">
      <c r="A38" s="11" t="s">
        <v>42</v>
      </c>
      <c r="B38" s="11" t="s">
        <v>40</v>
      </c>
      <c r="C38" s="7" t="s">
        <v>97</v>
      </c>
      <c r="D38"/>
      <c r="E38"/>
      <c r="F38"/>
      <c r="G38" s="7" t="s">
        <v>76</v>
      </c>
      <c r="H38"/>
    </row>
    <row r="39" spans="1:8" x14ac:dyDescent="0.3">
      <c r="A39" s="11" t="s">
        <v>43</v>
      </c>
      <c r="B39" s="11" t="s">
        <v>40</v>
      </c>
      <c r="C39" s="7" t="s">
        <v>97</v>
      </c>
      <c r="D39"/>
      <c r="E39"/>
      <c r="F39"/>
      <c r="G39" s="7" t="s">
        <v>76</v>
      </c>
      <c r="H39"/>
    </row>
    <row r="40" spans="1:8" x14ac:dyDescent="0.3">
      <c r="A40" s="11" t="s">
        <v>44</v>
      </c>
      <c r="B40" s="11" t="s">
        <v>40</v>
      </c>
      <c r="C40" s="7" t="s">
        <v>97</v>
      </c>
      <c r="D40"/>
      <c r="E40"/>
      <c r="F40"/>
      <c r="G40" s="7" t="s">
        <v>76</v>
      </c>
      <c r="H40"/>
    </row>
    <row r="41" spans="1:8" x14ac:dyDescent="0.3">
      <c r="A41" s="11" t="s">
        <v>45</v>
      </c>
      <c r="B41" s="11" t="s">
        <v>40</v>
      </c>
      <c r="C41" s="7" t="s">
        <v>97</v>
      </c>
      <c r="D41"/>
      <c r="E41"/>
      <c r="F41"/>
      <c r="G41" s="7" t="s">
        <v>76</v>
      </c>
      <c r="H41"/>
    </row>
    <row r="42" spans="1:8" x14ac:dyDescent="0.3">
      <c r="A42" s="11" t="s">
        <v>46</v>
      </c>
      <c r="B42" s="11" t="s">
        <v>40</v>
      </c>
      <c r="C42" s="7" t="s">
        <v>97</v>
      </c>
      <c r="D42"/>
      <c r="E42"/>
      <c r="F42"/>
      <c r="G42" s="7" t="s">
        <v>76</v>
      </c>
      <c r="H42"/>
    </row>
    <row r="43" spans="1:8" x14ac:dyDescent="0.3">
      <c r="A43" s="11" t="s">
        <v>47</v>
      </c>
      <c r="B43" s="11" t="s">
        <v>40</v>
      </c>
      <c r="C43" s="7" t="s">
        <v>97</v>
      </c>
      <c r="D43"/>
      <c r="E43"/>
      <c r="F43"/>
      <c r="G43" s="7" t="s">
        <v>76</v>
      </c>
      <c r="H43"/>
    </row>
    <row r="44" spans="1:8" x14ac:dyDescent="0.3">
      <c r="A44" s="12" t="s">
        <v>48</v>
      </c>
      <c r="B44" s="12" t="s">
        <v>49</v>
      </c>
      <c r="C44" s="7" t="s">
        <v>97</v>
      </c>
      <c r="D44"/>
      <c r="E44"/>
      <c r="F44"/>
      <c r="G44" s="7" t="s">
        <v>76</v>
      </c>
      <c r="H44"/>
    </row>
    <row r="45" spans="1:8" x14ac:dyDescent="0.3">
      <c r="A45" s="12" t="s">
        <v>50</v>
      </c>
      <c r="B45" s="12" t="s">
        <v>49</v>
      </c>
      <c r="C45" s="7" t="s">
        <v>97</v>
      </c>
      <c r="D45"/>
      <c r="E45"/>
      <c r="F45"/>
      <c r="G45" s="7" t="s">
        <v>76</v>
      </c>
      <c r="H45"/>
    </row>
    <row r="46" spans="1:8" x14ac:dyDescent="0.3">
      <c r="A46" s="12" t="s">
        <v>51</v>
      </c>
      <c r="B46" s="12" t="s">
        <v>49</v>
      </c>
      <c r="C46" s="7" t="s">
        <v>97</v>
      </c>
      <c r="D46"/>
      <c r="E46"/>
      <c r="F46"/>
      <c r="G46" s="7" t="s">
        <v>76</v>
      </c>
      <c r="H46"/>
    </row>
    <row r="47" spans="1:8" x14ac:dyDescent="0.3">
      <c r="A47" s="12" t="s">
        <v>52</v>
      </c>
      <c r="B47" s="12" t="s">
        <v>49</v>
      </c>
      <c r="C47" s="7" t="s">
        <v>97</v>
      </c>
      <c r="D47"/>
      <c r="E47"/>
      <c r="F47"/>
      <c r="G47" s="7" t="s">
        <v>76</v>
      </c>
      <c r="H47"/>
    </row>
    <row r="48" spans="1:8" x14ac:dyDescent="0.3">
      <c r="A48" s="12" t="s">
        <v>50</v>
      </c>
      <c r="B48" s="12" t="s">
        <v>49</v>
      </c>
      <c r="C48" s="7" t="str">
        <f ca="1">_xlfn.LET( _xlpm.LatestAction, _xlfn.XLOOKUP("*" &amp; A48 &amp; "*", 'Form Responses 1'!C:C, 'Form Responses 1'!B:B, "Available", 2, -1), _xlpm.LatestInsp, _xlfn.XLOOKUP("*" &amp; A48 &amp; "*", 'Form Responses 1'!C:C, 'Form Responses 1'!G:G, "", 2, -1), _xlpm.LatestDate, _xlfn.XLOOKUP("*" &amp; A48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🟢 AVAILABLE</v>
      </c>
      <c r="D48" s="7" t="str">
        <f>_xlfn.LET( _xlpm.LatestAction, _xlfn.XLOOKUP("*" &amp; A48 &amp; "*", 'Form Responses 1'!C:C, 'Form Responses 1'!B:B, "", 2, -1), _xlpm.LatestTrainer, _xlfn.XLOOKUP("*" &amp; A48 &amp; "*", 'Form Responses 1'!C:C, 'Form Responses 1'!D:D, "", 2, -1), IF(OR(_xlpm.LatestAction = "Final Return to General Stock", _xlpm.LatestAction = ""), "", _xlpm.LatestTrainer) )</f>
        <v/>
      </c>
      <c r="E48" s="7" t="str">
        <f>_xlfn.LET( _xlpm.LatestAction, _xlfn.XLOOKUP("*" &amp; A48 &amp; "*", 'Form Responses 1'!C:C, 'Form Responses 1'!B:B, "", 2, -1), _xlpm.LatestCand, _xlfn.XLOOKUP("*" &amp; A48 &amp; "*", 'Form Responses 1'!C:C, 'Form Responses 1'!E:E, "", 2, -1), IF(OR(_xlpm.LatestAction = "Final Return to General Stock", _xlpm.LatestAction = ""), "", _xlpm.LatestCand) )</f>
        <v/>
      </c>
      <c r="F48" s="8" t="str">
        <f>_xlfn.LET( _xlpm.LatestAction, _xlfn.XLOOKUP("*" &amp; A48 &amp; "*", 'Form Responses 1'!C:C, 'Form Responses 1'!B:B, "", 2, -1), _xlpm.LatestDate, _xlfn.XLOOKUP("*" &amp; A48 &amp; "*", 'Form Responses 1'!C:C, 'Form Responses 1'!F:F, "", 2, -1), IF(OR(_xlpm.LatestAction = "Final Return to General Stock", _xlpm.LatestAction = ""), "", _xlpm.LatestDate) )</f>
        <v/>
      </c>
      <c r="G48" s="7" t="str">
        <f>_xlfn.XLOOKUP("*" &amp; A48 &amp; "*", 'Form Responses 1'!C:C, 'Form Responses 1'!G:G, "Not Inspected", 2, -1)</f>
        <v>Not Inspected</v>
      </c>
      <c r="H48" s="7" t="str">
        <f>_xlfn.XLOOKUP("*" &amp; A48 &amp; "*", 'Form Responses 1'!C:C, 'Form Responses 1'!H:H, "", 2, -1)</f>
        <v/>
      </c>
    </row>
    <row r="49" spans="1:8" x14ac:dyDescent="0.3">
      <c r="A49" s="12" t="s">
        <v>51</v>
      </c>
      <c r="B49" s="12" t="s">
        <v>49</v>
      </c>
      <c r="C49" s="7" t="str">
        <f ca="1">_xlfn.LET( _xlpm.LatestAction, _xlfn.XLOOKUP("*" &amp; A49 &amp; "*", 'Form Responses 1'!C:C, 'Form Responses 1'!B:B, "Available", 2, -1), _xlpm.LatestInsp, _xlfn.XLOOKUP("*" &amp; A49 &amp; "*", 'Form Responses 1'!C:C, 'Form Responses 1'!G:G, "", 2, -1), _xlpm.LatestDate, _xlfn.XLOOKUP("*" &amp; A49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🟢 AVAILABLE</v>
      </c>
      <c r="D49" s="7" t="str">
        <f>_xlfn.LET( _xlpm.LatestAction, _xlfn.XLOOKUP("*" &amp; A49 &amp; "*", 'Form Responses 1'!C:C, 'Form Responses 1'!B:B, "", 2, -1), _xlpm.LatestTrainer, _xlfn.XLOOKUP("*" &amp; A49 &amp; "*", 'Form Responses 1'!C:C, 'Form Responses 1'!D:D, "", 2, -1), IF(OR(_xlpm.LatestAction = "Final Return to General Stock", _xlpm.LatestAction = ""), "", _xlpm.LatestTrainer) )</f>
        <v/>
      </c>
      <c r="E49" s="7" t="str">
        <f>_xlfn.LET( _xlpm.LatestAction, _xlfn.XLOOKUP("*" &amp; A49 &amp; "*", 'Form Responses 1'!C:C, 'Form Responses 1'!B:B, "", 2, -1), _xlpm.LatestCand, _xlfn.XLOOKUP("*" &amp; A49 &amp; "*", 'Form Responses 1'!C:C, 'Form Responses 1'!E:E, "", 2, -1), IF(OR(_xlpm.LatestAction = "Final Return to General Stock", _xlpm.LatestAction = ""), "", _xlpm.LatestCand) )</f>
        <v/>
      </c>
      <c r="F49" s="8" t="str">
        <f>_xlfn.LET( _xlpm.LatestAction, _xlfn.XLOOKUP("*" &amp; A49 &amp; "*", 'Form Responses 1'!C:C, 'Form Responses 1'!B:B, "", 2, -1), _xlpm.LatestDate, _xlfn.XLOOKUP("*" &amp; A49 &amp; "*", 'Form Responses 1'!C:C, 'Form Responses 1'!F:F, "", 2, -1), IF(OR(_xlpm.LatestAction = "Final Return to General Stock", _xlpm.LatestAction = ""), "", _xlpm.LatestDate) )</f>
        <v/>
      </c>
      <c r="G49" s="7" t="str">
        <f>_xlfn.XLOOKUP("*" &amp; A49 &amp; "*", 'Form Responses 1'!C:C, 'Form Responses 1'!G:G, "Not Inspected", 2, -1)</f>
        <v>Not Inspected</v>
      </c>
      <c r="H49" s="7" t="str">
        <f>_xlfn.XLOOKUP("*" &amp; A49 &amp; "*", 'Form Responses 1'!C:C, 'Form Responses 1'!H:H, "", 2, -1)</f>
        <v/>
      </c>
    </row>
    <row r="50" spans="1:8" x14ac:dyDescent="0.3">
      <c r="A50" s="12" t="s">
        <v>52</v>
      </c>
      <c r="B50" s="12" t="s">
        <v>49</v>
      </c>
      <c r="C50" s="7" t="str">
        <f ca="1">_xlfn.LET( _xlpm.LatestAction, _xlfn.XLOOKUP("*" &amp; A50 &amp; "*", 'Form Responses 1'!C:C, 'Form Responses 1'!B:B, "Available", 2, -1), _xlpm.LatestInsp, _xlfn.XLOOKUP("*" &amp; A50 &amp; "*", 'Form Responses 1'!C:C, 'Form Responses 1'!G:G, "", 2, -1), _xlpm.LatestDate, _xlfn.XLOOKUP("*" &amp; A50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🟢 AVAILABLE</v>
      </c>
      <c r="D50" s="7" t="str">
        <f>_xlfn.LET( _xlpm.LatestAction, _xlfn.XLOOKUP("*" &amp; A50 &amp; "*", 'Form Responses 1'!C:C, 'Form Responses 1'!B:B, "", 2, -1), _xlpm.LatestTrainer, _xlfn.XLOOKUP("*" &amp; A50 &amp; "*", 'Form Responses 1'!C:C, 'Form Responses 1'!D:D, "", 2, -1), IF(OR(_xlpm.LatestAction = "Final Return to General Stock", _xlpm.LatestAction = ""), "", _xlpm.LatestTrainer) )</f>
        <v/>
      </c>
      <c r="E50" s="7" t="str">
        <f>_xlfn.LET( _xlpm.LatestAction, _xlfn.XLOOKUP("*" &amp; A50 &amp; "*", 'Form Responses 1'!C:C, 'Form Responses 1'!B:B, "", 2, -1), _xlpm.LatestCand, _xlfn.XLOOKUP("*" &amp; A50 &amp; "*", 'Form Responses 1'!C:C, 'Form Responses 1'!E:E, "", 2, -1), IF(OR(_xlpm.LatestAction = "Final Return to General Stock", _xlpm.LatestAction = ""), "", _xlpm.LatestCand) )</f>
        <v/>
      </c>
      <c r="F50" s="8" t="str">
        <f>_xlfn.LET( _xlpm.LatestAction, _xlfn.XLOOKUP("*" &amp; A50 &amp; "*", 'Form Responses 1'!C:C, 'Form Responses 1'!B:B, "", 2, -1), _xlpm.LatestDate, _xlfn.XLOOKUP("*" &amp; A50 &amp; "*", 'Form Responses 1'!C:C, 'Form Responses 1'!F:F, "", 2, -1), IF(OR(_xlpm.LatestAction = "Final Return to General Stock", _xlpm.LatestAction = ""), "", _xlpm.LatestDate) )</f>
        <v/>
      </c>
      <c r="G50" s="7" t="str">
        <f>_xlfn.XLOOKUP("*" &amp; A50 &amp; "*", 'Form Responses 1'!C:C, 'Form Responses 1'!G:G, "Not Inspected", 2, -1)</f>
        <v>Not Inspected</v>
      </c>
      <c r="H50" s="7" t="str">
        <f>_xlfn.XLOOKUP("*" &amp; A50 &amp; "*", 'Form Responses 1'!C:C, 'Form Responses 1'!H:H, "", 2, -1)</f>
        <v/>
      </c>
    </row>
    <row r="51" spans="1:8" hidden="1" x14ac:dyDescent="0.3">
      <c r="C51" s="7" t="str">
        <f ca="1">_xlfn.LET( _xlpm.LatestAction, _xlfn.XLOOKUP("*" &amp; A51 &amp; "*", 'Form Responses 1'!C:C, 'Form Responses 1'!B:B, "Available", 2, -1), _xlpm.LatestInsp, _xlfn.XLOOKUP("*" &amp; A51 &amp; "*", 'Form Responses 1'!C:C, 'Form Responses 1'!G:G, "", 2, -1), _xlpm.LatestDate, _xlfn.XLOOKUP("*" &amp; A51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51" s="7" t="str">
        <f>_xlfn.LET( _xlpm.LatestAction, _xlfn.XLOOKUP("*" &amp; A51 &amp; "*", 'Form Responses 1'!C:C, 'Form Responses 1'!B:B, "", 2, -1), _xlpm.LatestTrainer, _xlfn.XLOOKUP("*" &amp; A51 &amp; "*", 'Form Responses 1'!C:C, 'Form Responses 1'!D:D, "", 2, -1), IF(OR(_xlpm.LatestAction = "Final Return to General Stock", _xlpm.LatestAction = ""), "", _xlpm.LatestTrainer) )</f>
        <v>Simon</v>
      </c>
      <c r="E51" s="7" t="str">
        <f>_xlfn.LET( _xlpm.LatestAction, _xlfn.XLOOKUP("*" &amp; A51 &amp; "*", 'Form Responses 1'!C:C, 'Form Responses 1'!B:B, "", 2, -1), _xlpm.LatestCand, _xlfn.XLOOKUP("*" &amp; A51 &amp; "*", 'Form Responses 1'!C:C, 'Form Responses 1'!E:E, "", 2, -1), IF(OR(_xlpm.LatestAction = "Final Return to General Stock", _xlpm.LatestAction = ""), "", _xlpm.LatestCand) )</f>
        <v>Dave</v>
      </c>
      <c r="F51" s="8" t="str">
        <f>_xlfn.LET( _xlpm.LatestAction, _xlfn.XLOOKUP("*" &amp; A51 &amp; "*", 'Form Responses 1'!C:C, 'Form Responses 1'!B:B, "", 2, -1), _xlpm.LatestDate, _xlfn.XLOOKUP("*" &amp; A51 &amp; "*", 'Form Responses 1'!C:C, 'Form Responses 1'!F:F, "", 2, -1), IF(OR(_xlpm.LatestAction = "Final Return to General Stock", _xlpm.LatestAction = ""), "", _xlpm.LatestDate) )</f>
        <v>15/10/2026</v>
      </c>
      <c r="G51" s="7" t="str">
        <f>_xlfn.XLOOKUP("*" &amp; A51 &amp; "*", 'Form Responses 1'!C:C, 'Form Responses 1'!G:G, "Not Inspected", 2, -1)</f>
        <v>Not Inspected</v>
      </c>
      <c r="H51" s="7">
        <f>_xlfn.XLOOKUP("*" &amp; A51 &amp; "*", 'Form Responses 1'!C:C, 'Form Responses 1'!H:H, "", 2, -1)</f>
        <v>0</v>
      </c>
    </row>
    <row r="52" spans="1:8" hidden="1" x14ac:dyDescent="0.3">
      <c r="C52" s="7" t="str">
        <f ca="1">_xlfn.LET( _xlpm.LatestAction, _xlfn.XLOOKUP("*" &amp; A52 &amp; "*", 'Form Responses 1'!C:C, 'Form Responses 1'!B:B, "Available", 2, -1), _xlpm.LatestInsp, _xlfn.XLOOKUP("*" &amp; A52 &amp; "*", 'Form Responses 1'!C:C, 'Form Responses 1'!G:G, "", 2, -1), _xlpm.LatestDate, _xlfn.XLOOKUP("*" &amp; A52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52" s="7" t="str">
        <f>_xlfn.LET( _xlpm.LatestAction, _xlfn.XLOOKUP("*" &amp; A52 &amp; "*", 'Form Responses 1'!C:C, 'Form Responses 1'!B:B, "", 2, -1), _xlpm.LatestTrainer, _xlfn.XLOOKUP("*" &amp; A52 &amp; "*", 'Form Responses 1'!C:C, 'Form Responses 1'!D:D, "", 2, -1), IF(OR(_xlpm.LatestAction = "Final Return to General Stock", _xlpm.LatestAction = ""), "", _xlpm.LatestTrainer) )</f>
        <v>Simon</v>
      </c>
      <c r="E52" s="7" t="str">
        <f>_xlfn.LET( _xlpm.LatestAction, _xlfn.XLOOKUP("*" &amp; A52 &amp; "*", 'Form Responses 1'!C:C, 'Form Responses 1'!B:B, "", 2, -1), _xlpm.LatestCand, _xlfn.XLOOKUP("*" &amp; A52 &amp; "*", 'Form Responses 1'!C:C, 'Form Responses 1'!E:E, "", 2, -1), IF(OR(_xlpm.LatestAction = "Final Return to General Stock", _xlpm.LatestAction = ""), "", _xlpm.LatestCand) )</f>
        <v>Dave</v>
      </c>
      <c r="F52" s="8" t="str">
        <f>_xlfn.LET( _xlpm.LatestAction, _xlfn.XLOOKUP("*" &amp; A52 &amp; "*", 'Form Responses 1'!C:C, 'Form Responses 1'!B:B, "", 2, -1), _xlpm.LatestDate, _xlfn.XLOOKUP("*" &amp; A52 &amp; "*", 'Form Responses 1'!C:C, 'Form Responses 1'!F:F, "", 2, -1), IF(OR(_xlpm.LatestAction = "Final Return to General Stock", _xlpm.LatestAction = ""), "", _xlpm.LatestDate) )</f>
        <v>15/10/2026</v>
      </c>
      <c r="G52" s="7" t="str">
        <f>_xlfn.XLOOKUP("*" &amp; A52 &amp; "*", 'Form Responses 1'!C:C, 'Form Responses 1'!G:G, "Not Inspected", 2, -1)</f>
        <v>Not Inspected</v>
      </c>
      <c r="H52" s="7">
        <f>_xlfn.XLOOKUP("*" &amp; A52 &amp; "*", 'Form Responses 1'!C:C, 'Form Responses 1'!H:H, "", 2, -1)</f>
        <v>0</v>
      </c>
    </row>
    <row r="53" spans="1:8" hidden="1" x14ac:dyDescent="0.3">
      <c r="C53" s="7" t="str">
        <f ca="1">_xlfn.LET( _xlpm.LatestAction, _xlfn.XLOOKUP("*" &amp; A53 &amp; "*", 'Form Responses 1'!C:C, 'Form Responses 1'!B:B, "Available", 2, -1), _xlpm.LatestInsp, _xlfn.XLOOKUP("*" &amp; A53 &amp; "*", 'Form Responses 1'!C:C, 'Form Responses 1'!G:G, "", 2, -1), _xlpm.LatestDate, _xlfn.XLOOKUP("*" &amp; A53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53" s="7" t="str">
        <f>_xlfn.LET( _xlpm.LatestAction, _xlfn.XLOOKUP("*" &amp; A53 &amp; "*", 'Form Responses 1'!C:C, 'Form Responses 1'!B:B, "", 2, -1), _xlpm.LatestTrainer, _xlfn.XLOOKUP("*" &amp; A53 &amp; "*", 'Form Responses 1'!C:C, 'Form Responses 1'!D:D, "", 2, -1), IF(OR(_xlpm.LatestAction = "Final Return to General Stock", _xlpm.LatestAction = ""), "", _xlpm.LatestTrainer) )</f>
        <v>Simon</v>
      </c>
      <c r="E53" s="7" t="str">
        <f>_xlfn.LET( _xlpm.LatestAction, _xlfn.XLOOKUP("*" &amp; A53 &amp; "*", 'Form Responses 1'!C:C, 'Form Responses 1'!B:B, "", 2, -1), _xlpm.LatestCand, _xlfn.XLOOKUP("*" &amp; A53 &amp; "*", 'Form Responses 1'!C:C, 'Form Responses 1'!E:E, "", 2, -1), IF(OR(_xlpm.LatestAction = "Final Return to General Stock", _xlpm.LatestAction = ""), "", _xlpm.LatestCand) )</f>
        <v>Dave</v>
      </c>
      <c r="F53" s="8" t="str">
        <f>_xlfn.LET( _xlpm.LatestAction, _xlfn.XLOOKUP("*" &amp; A53 &amp; "*", 'Form Responses 1'!C:C, 'Form Responses 1'!B:B, "", 2, -1), _xlpm.LatestDate, _xlfn.XLOOKUP("*" &amp; A53 &amp; "*", 'Form Responses 1'!C:C, 'Form Responses 1'!F:F, "", 2, -1), IF(OR(_xlpm.LatestAction = "Final Return to General Stock", _xlpm.LatestAction = ""), "", _xlpm.LatestDate) )</f>
        <v>15/10/2026</v>
      </c>
      <c r="G53" s="7" t="str">
        <f>_xlfn.XLOOKUP("*" &amp; A53 &amp; "*", 'Form Responses 1'!C:C, 'Form Responses 1'!G:G, "Not Inspected", 2, -1)</f>
        <v>Not Inspected</v>
      </c>
      <c r="H53" s="7">
        <f>_xlfn.XLOOKUP("*" &amp; A53 &amp; "*", 'Form Responses 1'!C:C, 'Form Responses 1'!H:H, "", 2, -1)</f>
        <v>0</v>
      </c>
    </row>
    <row r="54" spans="1:8" hidden="1" x14ac:dyDescent="0.3">
      <c r="C54" s="7" t="str">
        <f ca="1">_xlfn.LET( _xlpm.LatestAction, _xlfn.XLOOKUP("*" &amp; A54 &amp; "*", 'Form Responses 1'!C:C, 'Form Responses 1'!B:B, "Available", 2, -1), _xlpm.LatestInsp, _xlfn.XLOOKUP("*" &amp; A54 &amp; "*", 'Form Responses 1'!C:C, 'Form Responses 1'!G:G, "", 2, -1), _xlpm.LatestDate, _xlfn.XLOOKUP("*" &amp; A54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54" s="7" t="str">
        <f>_xlfn.LET( _xlpm.LatestAction, _xlfn.XLOOKUP("*" &amp; A54 &amp; "*", 'Form Responses 1'!C:C, 'Form Responses 1'!B:B, "", 2, -1), _xlpm.LatestTrainer, _xlfn.XLOOKUP("*" &amp; A54 &amp; "*", 'Form Responses 1'!C:C, 'Form Responses 1'!D:D, "", 2, -1), IF(OR(_xlpm.LatestAction = "Final Return to General Stock", _xlpm.LatestAction = ""), "", _xlpm.LatestTrainer) )</f>
        <v>Simon</v>
      </c>
      <c r="E54" s="7" t="str">
        <f>_xlfn.LET( _xlpm.LatestAction, _xlfn.XLOOKUP("*" &amp; A54 &amp; "*", 'Form Responses 1'!C:C, 'Form Responses 1'!B:B, "", 2, -1), _xlpm.LatestCand, _xlfn.XLOOKUP("*" &amp; A54 &amp; "*", 'Form Responses 1'!C:C, 'Form Responses 1'!E:E, "", 2, -1), IF(OR(_xlpm.LatestAction = "Final Return to General Stock", _xlpm.LatestAction = ""), "", _xlpm.LatestCand) )</f>
        <v>Dave</v>
      </c>
      <c r="F54" s="8" t="str">
        <f>_xlfn.LET( _xlpm.LatestAction, _xlfn.XLOOKUP("*" &amp; A54 &amp; "*", 'Form Responses 1'!C:C, 'Form Responses 1'!B:B, "", 2, -1), _xlpm.LatestDate, _xlfn.XLOOKUP("*" &amp; A54 &amp; "*", 'Form Responses 1'!C:C, 'Form Responses 1'!F:F, "", 2, -1), IF(OR(_xlpm.LatestAction = "Final Return to General Stock", _xlpm.LatestAction = ""), "", _xlpm.LatestDate) )</f>
        <v>15/10/2026</v>
      </c>
      <c r="G54" s="7" t="str">
        <f>_xlfn.XLOOKUP("*" &amp; A54 &amp; "*", 'Form Responses 1'!C:C, 'Form Responses 1'!G:G, "Not Inspected", 2, -1)</f>
        <v>Not Inspected</v>
      </c>
      <c r="H54" s="7">
        <f>_xlfn.XLOOKUP("*" &amp; A54 &amp; "*", 'Form Responses 1'!C:C, 'Form Responses 1'!H:H, "", 2, -1)</f>
        <v>0</v>
      </c>
    </row>
    <row r="55" spans="1:8" hidden="1" x14ac:dyDescent="0.3">
      <c r="C55" s="7" t="str">
        <f ca="1">_xlfn.LET( _xlpm.LatestAction, _xlfn.XLOOKUP("*" &amp; A55 &amp; "*", 'Form Responses 1'!C:C, 'Form Responses 1'!B:B, "Available", 2, -1), _xlpm.LatestInsp, _xlfn.XLOOKUP("*" &amp; A55 &amp; "*", 'Form Responses 1'!C:C, 'Form Responses 1'!G:G, "", 2, -1), _xlpm.LatestDate, _xlfn.XLOOKUP("*" &amp; A55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55" s="7" t="str">
        <f>_xlfn.LET( _xlpm.LatestAction, _xlfn.XLOOKUP("*" &amp; A55 &amp; "*", 'Form Responses 1'!C:C, 'Form Responses 1'!B:B, "", 2, -1), _xlpm.LatestTrainer, _xlfn.XLOOKUP("*" &amp; A55 &amp; "*", 'Form Responses 1'!C:C, 'Form Responses 1'!D:D, "", 2, -1), IF(OR(_xlpm.LatestAction = "Final Return to General Stock", _xlpm.LatestAction = ""), "", _xlpm.LatestTrainer) )</f>
        <v>Simon</v>
      </c>
      <c r="E55" s="7" t="str">
        <f>_xlfn.LET( _xlpm.LatestAction, _xlfn.XLOOKUP("*" &amp; A55 &amp; "*", 'Form Responses 1'!C:C, 'Form Responses 1'!B:B, "", 2, -1), _xlpm.LatestCand, _xlfn.XLOOKUP("*" &amp; A55 &amp; "*", 'Form Responses 1'!C:C, 'Form Responses 1'!E:E, "", 2, -1), IF(OR(_xlpm.LatestAction = "Final Return to General Stock", _xlpm.LatestAction = ""), "", _xlpm.LatestCand) )</f>
        <v>Dave</v>
      </c>
      <c r="F55" s="8" t="str">
        <f>_xlfn.LET( _xlpm.LatestAction, _xlfn.XLOOKUP("*" &amp; A55 &amp; "*", 'Form Responses 1'!C:C, 'Form Responses 1'!B:B, "", 2, -1), _xlpm.LatestDate, _xlfn.XLOOKUP("*" &amp; A55 &amp; "*", 'Form Responses 1'!C:C, 'Form Responses 1'!F:F, "", 2, -1), IF(OR(_xlpm.LatestAction = "Final Return to General Stock", _xlpm.LatestAction = ""), "", _xlpm.LatestDate) )</f>
        <v>15/10/2026</v>
      </c>
      <c r="G55" s="7" t="str">
        <f>_xlfn.XLOOKUP("*" &amp; A55 &amp; "*", 'Form Responses 1'!C:C, 'Form Responses 1'!G:G, "Not Inspected", 2, -1)</f>
        <v>Not Inspected</v>
      </c>
      <c r="H55" s="7">
        <f>_xlfn.XLOOKUP("*" &amp; A55 &amp; "*", 'Form Responses 1'!C:C, 'Form Responses 1'!H:H, "", 2, -1)</f>
        <v>0</v>
      </c>
    </row>
    <row r="56" spans="1:8" hidden="1" x14ac:dyDescent="0.3">
      <c r="C56" s="7" t="str">
        <f ca="1">_xlfn.LET( _xlpm.LatestAction, _xlfn.XLOOKUP("*" &amp; A56 &amp; "*", 'Form Responses 1'!C:C, 'Form Responses 1'!B:B, "Available", 2, -1), _xlpm.LatestInsp, _xlfn.XLOOKUP("*" &amp; A56 &amp; "*", 'Form Responses 1'!C:C, 'Form Responses 1'!G:G, "", 2, -1), _xlpm.LatestDate, _xlfn.XLOOKUP("*" &amp; A56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56" s="7" t="str">
        <f>_xlfn.LET( _xlpm.LatestAction, _xlfn.XLOOKUP("*" &amp; A56 &amp; "*", 'Form Responses 1'!C:C, 'Form Responses 1'!B:B, "", 2, -1), _xlpm.LatestTrainer, _xlfn.XLOOKUP("*" &amp; A56 &amp; "*", 'Form Responses 1'!C:C, 'Form Responses 1'!D:D, "", 2, -1), IF(OR(_xlpm.LatestAction = "Final Return to General Stock", _xlpm.LatestAction = ""), "", _xlpm.LatestTrainer) )</f>
        <v>Simon</v>
      </c>
      <c r="E56" s="7" t="str">
        <f>_xlfn.LET( _xlpm.LatestAction, _xlfn.XLOOKUP("*" &amp; A56 &amp; "*", 'Form Responses 1'!C:C, 'Form Responses 1'!B:B, "", 2, -1), _xlpm.LatestCand, _xlfn.XLOOKUP("*" &amp; A56 &amp; "*", 'Form Responses 1'!C:C, 'Form Responses 1'!E:E, "", 2, -1), IF(OR(_xlpm.LatestAction = "Final Return to General Stock", _xlpm.LatestAction = ""), "", _xlpm.LatestCand) )</f>
        <v>Dave</v>
      </c>
      <c r="F56" s="8" t="str">
        <f>_xlfn.LET( _xlpm.LatestAction, _xlfn.XLOOKUP("*" &amp; A56 &amp; "*", 'Form Responses 1'!C:C, 'Form Responses 1'!B:B, "", 2, -1), _xlpm.LatestDate, _xlfn.XLOOKUP("*" &amp; A56 &amp; "*", 'Form Responses 1'!C:C, 'Form Responses 1'!F:F, "", 2, -1), IF(OR(_xlpm.LatestAction = "Final Return to General Stock", _xlpm.LatestAction = ""), "", _xlpm.LatestDate) )</f>
        <v>15/10/2026</v>
      </c>
      <c r="G56" s="7" t="str">
        <f>_xlfn.XLOOKUP("*" &amp; A56 &amp; "*", 'Form Responses 1'!C:C, 'Form Responses 1'!G:G, "Not Inspected", 2, -1)</f>
        <v>Not Inspected</v>
      </c>
      <c r="H56" s="7">
        <f>_xlfn.XLOOKUP("*" &amp; A56 &amp; "*", 'Form Responses 1'!C:C, 'Form Responses 1'!H:H, "", 2, -1)</f>
        <v>0</v>
      </c>
    </row>
    <row r="57" spans="1:8" hidden="1" x14ac:dyDescent="0.3">
      <c r="C57" s="7" t="str">
        <f ca="1">_xlfn.LET( _xlpm.LatestAction, _xlfn.XLOOKUP("*" &amp; A57 &amp; "*", 'Form Responses 1'!C:C, 'Form Responses 1'!B:B, "Available", 2, -1), _xlpm.LatestInsp, _xlfn.XLOOKUP("*" &amp; A57 &amp; "*", 'Form Responses 1'!C:C, 'Form Responses 1'!G:G, "", 2, -1), _xlpm.LatestDate, _xlfn.XLOOKUP("*" &amp; A57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57" s="7" t="str">
        <f>_xlfn.LET( _xlpm.LatestAction, _xlfn.XLOOKUP("*" &amp; A57 &amp; "*", 'Form Responses 1'!C:C, 'Form Responses 1'!B:B, "", 2, -1), _xlpm.LatestTrainer, _xlfn.XLOOKUP("*" &amp; A57 &amp; "*", 'Form Responses 1'!C:C, 'Form Responses 1'!D:D, "", 2, -1), IF(OR(_xlpm.LatestAction = "Final Return to General Stock", _xlpm.LatestAction = ""), "", _xlpm.LatestTrainer) )</f>
        <v>Simon</v>
      </c>
      <c r="E57" s="7" t="str">
        <f>_xlfn.LET( _xlpm.LatestAction, _xlfn.XLOOKUP("*" &amp; A57 &amp; "*", 'Form Responses 1'!C:C, 'Form Responses 1'!B:B, "", 2, -1), _xlpm.LatestCand, _xlfn.XLOOKUP("*" &amp; A57 &amp; "*", 'Form Responses 1'!C:C, 'Form Responses 1'!E:E, "", 2, -1), IF(OR(_xlpm.LatestAction = "Final Return to General Stock", _xlpm.LatestAction = ""), "", _xlpm.LatestCand) )</f>
        <v>Dave</v>
      </c>
      <c r="F57" s="8" t="str">
        <f>_xlfn.LET( _xlpm.LatestAction, _xlfn.XLOOKUP("*" &amp; A57 &amp; "*", 'Form Responses 1'!C:C, 'Form Responses 1'!B:B, "", 2, -1), _xlpm.LatestDate, _xlfn.XLOOKUP("*" &amp; A57 &amp; "*", 'Form Responses 1'!C:C, 'Form Responses 1'!F:F, "", 2, -1), IF(OR(_xlpm.LatestAction = "Final Return to General Stock", _xlpm.LatestAction = ""), "", _xlpm.LatestDate) )</f>
        <v>15/10/2026</v>
      </c>
      <c r="G57" s="7" t="str">
        <f>_xlfn.XLOOKUP("*" &amp; A57 &amp; "*", 'Form Responses 1'!C:C, 'Form Responses 1'!G:G, "Not Inspected", 2, -1)</f>
        <v>Not Inspected</v>
      </c>
      <c r="H57" s="7">
        <f>_xlfn.XLOOKUP("*" &amp; A57 &amp; "*", 'Form Responses 1'!C:C, 'Form Responses 1'!H:H, "", 2, -1)</f>
        <v>0</v>
      </c>
    </row>
    <row r="58" spans="1:8" hidden="1" x14ac:dyDescent="0.3">
      <c r="C58" s="7" t="str">
        <f ca="1">_xlfn.LET( _xlpm.LatestAction, _xlfn.XLOOKUP("*" &amp; A58 &amp; "*", 'Form Responses 1'!C:C, 'Form Responses 1'!B:B, "Available", 2, -1), _xlpm.LatestInsp, _xlfn.XLOOKUP("*" &amp; A58 &amp; "*", 'Form Responses 1'!C:C, 'Form Responses 1'!G:G, "", 2, -1), _xlpm.LatestDate, _xlfn.XLOOKUP("*" &amp; A58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58" s="7" t="str">
        <f>_xlfn.LET( _xlpm.LatestAction, _xlfn.XLOOKUP("*" &amp; A58 &amp; "*", 'Form Responses 1'!C:C, 'Form Responses 1'!B:B, "", 2, -1), _xlpm.LatestTrainer, _xlfn.XLOOKUP("*" &amp; A58 &amp; "*", 'Form Responses 1'!C:C, 'Form Responses 1'!D:D, "", 2, -1), IF(OR(_xlpm.LatestAction = "Final Return to General Stock", _xlpm.LatestAction = ""), "", _xlpm.LatestTrainer) )</f>
        <v>Simon</v>
      </c>
      <c r="E58" s="7" t="str">
        <f>_xlfn.LET( _xlpm.LatestAction, _xlfn.XLOOKUP("*" &amp; A58 &amp; "*", 'Form Responses 1'!C:C, 'Form Responses 1'!B:B, "", 2, -1), _xlpm.LatestCand, _xlfn.XLOOKUP("*" &amp; A58 &amp; "*", 'Form Responses 1'!C:C, 'Form Responses 1'!E:E, "", 2, -1), IF(OR(_xlpm.LatestAction = "Final Return to General Stock", _xlpm.LatestAction = ""), "", _xlpm.LatestCand) )</f>
        <v>Dave</v>
      </c>
      <c r="F58" s="8" t="str">
        <f>_xlfn.LET( _xlpm.LatestAction, _xlfn.XLOOKUP("*" &amp; A58 &amp; "*", 'Form Responses 1'!C:C, 'Form Responses 1'!B:B, "", 2, -1), _xlpm.LatestDate, _xlfn.XLOOKUP("*" &amp; A58 &amp; "*", 'Form Responses 1'!C:C, 'Form Responses 1'!F:F, "", 2, -1), IF(OR(_xlpm.LatestAction = "Final Return to General Stock", _xlpm.LatestAction = ""), "", _xlpm.LatestDate) )</f>
        <v>15/10/2026</v>
      </c>
      <c r="G58" s="7" t="str">
        <f>_xlfn.XLOOKUP("*" &amp; A58 &amp; "*", 'Form Responses 1'!C:C, 'Form Responses 1'!G:G, "Not Inspected", 2, -1)</f>
        <v>Not Inspected</v>
      </c>
      <c r="H58" s="7">
        <f>_xlfn.XLOOKUP("*" &amp; A58 &amp; "*", 'Form Responses 1'!C:C, 'Form Responses 1'!H:H, "", 2, -1)</f>
        <v>0</v>
      </c>
    </row>
    <row r="59" spans="1:8" hidden="1" x14ac:dyDescent="0.3">
      <c r="C59" s="7" t="str">
        <f ca="1">_xlfn.LET( _xlpm.LatestAction, _xlfn.XLOOKUP("*" &amp; A59 &amp; "*", 'Form Responses 1'!C:C, 'Form Responses 1'!B:B, "Available", 2, -1), _xlpm.LatestInsp, _xlfn.XLOOKUP("*" &amp; A59 &amp; "*", 'Form Responses 1'!C:C, 'Form Responses 1'!G:G, "", 2, -1), _xlpm.LatestDate, _xlfn.XLOOKUP("*" &amp; A59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59" s="7" t="str">
        <f>_xlfn.LET( _xlpm.LatestAction, _xlfn.XLOOKUP("*" &amp; A59 &amp; "*", 'Form Responses 1'!C:C, 'Form Responses 1'!B:B, "", 2, -1), _xlpm.LatestTrainer, _xlfn.XLOOKUP("*" &amp; A59 &amp; "*", 'Form Responses 1'!C:C, 'Form Responses 1'!D:D, "", 2, -1), IF(OR(_xlpm.LatestAction = "Final Return to General Stock", _xlpm.LatestAction = ""), "", _xlpm.LatestTrainer) )</f>
        <v>Simon</v>
      </c>
      <c r="E59" s="7" t="str">
        <f>_xlfn.LET( _xlpm.LatestAction, _xlfn.XLOOKUP("*" &amp; A59 &amp; "*", 'Form Responses 1'!C:C, 'Form Responses 1'!B:B, "", 2, -1), _xlpm.LatestCand, _xlfn.XLOOKUP("*" &amp; A59 &amp; "*", 'Form Responses 1'!C:C, 'Form Responses 1'!E:E, "", 2, -1), IF(OR(_xlpm.LatestAction = "Final Return to General Stock", _xlpm.LatestAction = ""), "", _xlpm.LatestCand) )</f>
        <v>Dave</v>
      </c>
      <c r="F59" s="8" t="str">
        <f>_xlfn.LET( _xlpm.LatestAction, _xlfn.XLOOKUP("*" &amp; A59 &amp; "*", 'Form Responses 1'!C:C, 'Form Responses 1'!B:B, "", 2, -1), _xlpm.LatestDate, _xlfn.XLOOKUP("*" &amp; A59 &amp; "*", 'Form Responses 1'!C:C, 'Form Responses 1'!F:F, "", 2, -1), IF(OR(_xlpm.LatestAction = "Final Return to General Stock", _xlpm.LatestAction = ""), "", _xlpm.LatestDate) )</f>
        <v>15/10/2026</v>
      </c>
      <c r="G59" s="7" t="str">
        <f>_xlfn.XLOOKUP("*" &amp; A59 &amp; "*", 'Form Responses 1'!C:C, 'Form Responses 1'!G:G, "Not Inspected", 2, -1)</f>
        <v>Not Inspected</v>
      </c>
      <c r="H59" s="7">
        <f>_xlfn.XLOOKUP("*" &amp; A59 &amp; "*", 'Form Responses 1'!C:C, 'Form Responses 1'!H:H, "", 2, -1)</f>
        <v>0</v>
      </c>
    </row>
    <row r="60" spans="1:8" hidden="1" x14ac:dyDescent="0.3">
      <c r="C60" s="7" t="str">
        <f ca="1">_xlfn.LET( _xlpm.LatestAction, _xlfn.XLOOKUP("*" &amp; A60 &amp; "*", 'Form Responses 1'!C:C, 'Form Responses 1'!B:B, "Available", 2, -1), _xlpm.LatestInsp, _xlfn.XLOOKUP("*" &amp; A60 &amp; "*", 'Form Responses 1'!C:C, 'Form Responses 1'!G:G, "", 2, -1), _xlpm.LatestDate, _xlfn.XLOOKUP("*" &amp; A60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60" s="7" t="str">
        <f>_xlfn.LET( _xlpm.LatestAction, _xlfn.XLOOKUP("*" &amp; A60 &amp; "*", 'Form Responses 1'!C:C, 'Form Responses 1'!B:B, "", 2, -1), _xlpm.LatestTrainer, _xlfn.XLOOKUP("*" &amp; A60 &amp; "*", 'Form Responses 1'!C:C, 'Form Responses 1'!D:D, "", 2, -1), IF(OR(_xlpm.LatestAction = "Final Return to General Stock", _xlpm.LatestAction = ""), "", _xlpm.LatestTrainer) )</f>
        <v>Simon</v>
      </c>
      <c r="E60" s="7" t="str">
        <f>_xlfn.LET( _xlpm.LatestAction, _xlfn.XLOOKUP("*" &amp; A60 &amp; "*", 'Form Responses 1'!C:C, 'Form Responses 1'!B:B, "", 2, -1), _xlpm.LatestCand, _xlfn.XLOOKUP("*" &amp; A60 &amp; "*", 'Form Responses 1'!C:C, 'Form Responses 1'!E:E, "", 2, -1), IF(OR(_xlpm.LatestAction = "Final Return to General Stock", _xlpm.LatestAction = ""), "", _xlpm.LatestCand) )</f>
        <v>Dave</v>
      </c>
      <c r="F60" s="8" t="str">
        <f>_xlfn.LET( _xlpm.LatestAction, _xlfn.XLOOKUP("*" &amp; A60 &amp; "*", 'Form Responses 1'!C:C, 'Form Responses 1'!B:B, "", 2, -1), _xlpm.LatestDate, _xlfn.XLOOKUP("*" &amp; A60 &amp; "*", 'Form Responses 1'!C:C, 'Form Responses 1'!F:F, "", 2, -1), IF(OR(_xlpm.LatestAction = "Final Return to General Stock", _xlpm.LatestAction = ""), "", _xlpm.LatestDate) )</f>
        <v>15/10/2026</v>
      </c>
      <c r="G60" s="7" t="str">
        <f>_xlfn.XLOOKUP("*" &amp; A60 &amp; "*", 'Form Responses 1'!C:C, 'Form Responses 1'!G:G, "Not Inspected", 2, -1)</f>
        <v>Not Inspected</v>
      </c>
      <c r="H60" s="7">
        <f>_xlfn.XLOOKUP("*" &amp; A60 &amp; "*", 'Form Responses 1'!C:C, 'Form Responses 1'!H:H, "", 2, -1)</f>
        <v>0</v>
      </c>
    </row>
    <row r="61" spans="1:8" hidden="1" x14ac:dyDescent="0.3">
      <c r="C61" s="7" t="str">
        <f ca="1">_xlfn.LET( _xlpm.LatestAction, _xlfn.XLOOKUP("*" &amp; A61 &amp; "*", 'Form Responses 1'!C:C, 'Form Responses 1'!B:B, "Available", 2, -1), _xlpm.LatestInsp, _xlfn.XLOOKUP("*" &amp; A61 &amp; "*", 'Form Responses 1'!C:C, 'Form Responses 1'!G:G, "", 2, -1), _xlpm.LatestDate, _xlfn.XLOOKUP("*" &amp; A61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61" s="7" t="str">
        <f>_xlfn.LET( _xlpm.LatestAction, _xlfn.XLOOKUP("*" &amp; A61 &amp; "*", 'Form Responses 1'!C:C, 'Form Responses 1'!B:B, "", 2, -1), _xlpm.LatestTrainer, _xlfn.XLOOKUP("*" &amp; A61 &amp; "*", 'Form Responses 1'!C:C, 'Form Responses 1'!D:D, "", 2, -1), IF(OR(_xlpm.LatestAction = "Final Return to General Stock", _xlpm.LatestAction = ""), "", _xlpm.LatestTrainer) )</f>
        <v>Simon</v>
      </c>
      <c r="E61" s="7" t="str">
        <f>_xlfn.LET( _xlpm.LatestAction, _xlfn.XLOOKUP("*" &amp; A61 &amp; "*", 'Form Responses 1'!C:C, 'Form Responses 1'!B:B, "", 2, -1), _xlpm.LatestCand, _xlfn.XLOOKUP("*" &amp; A61 &amp; "*", 'Form Responses 1'!C:C, 'Form Responses 1'!E:E, "", 2, -1), IF(OR(_xlpm.LatestAction = "Final Return to General Stock", _xlpm.LatestAction = ""), "", _xlpm.LatestCand) )</f>
        <v>Dave</v>
      </c>
      <c r="F61" s="8" t="str">
        <f>_xlfn.LET( _xlpm.LatestAction, _xlfn.XLOOKUP("*" &amp; A61 &amp; "*", 'Form Responses 1'!C:C, 'Form Responses 1'!B:B, "", 2, -1), _xlpm.LatestDate, _xlfn.XLOOKUP("*" &amp; A61 &amp; "*", 'Form Responses 1'!C:C, 'Form Responses 1'!F:F, "", 2, -1), IF(OR(_xlpm.LatestAction = "Final Return to General Stock", _xlpm.LatestAction = ""), "", _xlpm.LatestDate) )</f>
        <v>15/10/2026</v>
      </c>
      <c r="G61" s="7" t="str">
        <f>_xlfn.XLOOKUP("*" &amp; A61 &amp; "*", 'Form Responses 1'!C:C, 'Form Responses 1'!G:G, "Not Inspected", 2, -1)</f>
        <v>Not Inspected</v>
      </c>
      <c r="H61" s="7">
        <f>_xlfn.XLOOKUP("*" &amp; A61 &amp; "*", 'Form Responses 1'!C:C, 'Form Responses 1'!H:H, "", 2, -1)</f>
        <v>0</v>
      </c>
    </row>
    <row r="62" spans="1:8" hidden="1" x14ac:dyDescent="0.3">
      <c r="C62" s="7" t="str">
        <f ca="1">_xlfn.LET( _xlpm.LatestAction, _xlfn.XLOOKUP("*" &amp; A62 &amp; "*", 'Form Responses 1'!C:C, 'Form Responses 1'!B:B, "Available", 2, -1), _xlpm.LatestInsp, _xlfn.XLOOKUP("*" &amp; A62 &amp; "*", 'Form Responses 1'!C:C, 'Form Responses 1'!G:G, "", 2, -1), _xlpm.LatestDate, _xlfn.XLOOKUP("*" &amp; A62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62" s="7" t="str">
        <f>_xlfn.LET( _xlpm.LatestAction, _xlfn.XLOOKUP("*" &amp; A62 &amp; "*", 'Form Responses 1'!C:C, 'Form Responses 1'!B:B, "", 2, -1), _xlpm.LatestTrainer, _xlfn.XLOOKUP("*" &amp; A62 &amp; "*", 'Form Responses 1'!C:C, 'Form Responses 1'!D:D, "", 2, -1), IF(OR(_xlpm.LatestAction = "Final Return to General Stock", _xlpm.LatestAction = ""), "", _xlpm.LatestTrainer) )</f>
        <v>Simon</v>
      </c>
      <c r="E62" s="7" t="str">
        <f>_xlfn.LET( _xlpm.LatestAction, _xlfn.XLOOKUP("*" &amp; A62 &amp; "*", 'Form Responses 1'!C:C, 'Form Responses 1'!B:B, "", 2, -1), _xlpm.LatestCand, _xlfn.XLOOKUP("*" &amp; A62 &amp; "*", 'Form Responses 1'!C:C, 'Form Responses 1'!E:E, "", 2, -1), IF(OR(_xlpm.LatestAction = "Final Return to General Stock", _xlpm.LatestAction = ""), "", _xlpm.LatestCand) )</f>
        <v>Dave</v>
      </c>
      <c r="F62" s="8" t="str">
        <f>_xlfn.LET( _xlpm.LatestAction, _xlfn.XLOOKUP("*" &amp; A62 &amp; "*", 'Form Responses 1'!C:C, 'Form Responses 1'!B:B, "", 2, -1), _xlpm.LatestDate, _xlfn.XLOOKUP("*" &amp; A62 &amp; "*", 'Form Responses 1'!C:C, 'Form Responses 1'!F:F, "", 2, -1), IF(OR(_xlpm.LatestAction = "Final Return to General Stock", _xlpm.LatestAction = ""), "", _xlpm.LatestDate) )</f>
        <v>15/10/2026</v>
      </c>
      <c r="G62" s="7" t="str">
        <f>_xlfn.XLOOKUP("*" &amp; A62 &amp; "*", 'Form Responses 1'!C:C, 'Form Responses 1'!G:G, "Not Inspected", 2, -1)</f>
        <v>Not Inspected</v>
      </c>
      <c r="H62" s="7">
        <f>_xlfn.XLOOKUP("*" &amp; A62 &amp; "*", 'Form Responses 1'!C:C, 'Form Responses 1'!H:H, "", 2, -1)</f>
        <v>0</v>
      </c>
    </row>
    <row r="63" spans="1:8" hidden="1" x14ac:dyDescent="0.3">
      <c r="C63" s="7" t="str">
        <f ca="1">_xlfn.LET( _xlpm.LatestAction, _xlfn.XLOOKUP("*" &amp; A63 &amp; "*", 'Form Responses 1'!C:C, 'Form Responses 1'!B:B, "Available", 2, -1), _xlpm.LatestInsp, _xlfn.XLOOKUP("*" &amp; A63 &amp; "*", 'Form Responses 1'!C:C, 'Form Responses 1'!G:G, "", 2, -1), _xlpm.LatestDate, _xlfn.XLOOKUP("*" &amp; A63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63" s="7" t="str">
        <f>_xlfn.LET( _xlpm.LatestAction, _xlfn.XLOOKUP("*" &amp; A63 &amp; "*", 'Form Responses 1'!C:C, 'Form Responses 1'!B:B, "", 2, -1), _xlpm.LatestTrainer, _xlfn.XLOOKUP("*" &amp; A63 &amp; "*", 'Form Responses 1'!C:C, 'Form Responses 1'!D:D, "", 2, -1), IF(OR(_xlpm.LatestAction = "Final Return to General Stock", _xlpm.LatestAction = ""), "", _xlpm.LatestTrainer) )</f>
        <v>Simon</v>
      </c>
      <c r="E63" s="7" t="str">
        <f>_xlfn.LET( _xlpm.LatestAction, _xlfn.XLOOKUP("*" &amp; A63 &amp; "*", 'Form Responses 1'!C:C, 'Form Responses 1'!B:B, "", 2, -1), _xlpm.LatestCand, _xlfn.XLOOKUP("*" &amp; A63 &amp; "*", 'Form Responses 1'!C:C, 'Form Responses 1'!E:E, "", 2, -1), IF(OR(_xlpm.LatestAction = "Final Return to General Stock", _xlpm.LatestAction = ""), "", _xlpm.LatestCand) )</f>
        <v>Dave</v>
      </c>
      <c r="F63" s="8" t="str">
        <f>_xlfn.LET( _xlpm.LatestAction, _xlfn.XLOOKUP("*" &amp; A63 &amp; "*", 'Form Responses 1'!C:C, 'Form Responses 1'!B:B, "", 2, -1), _xlpm.LatestDate, _xlfn.XLOOKUP("*" &amp; A63 &amp; "*", 'Form Responses 1'!C:C, 'Form Responses 1'!F:F, "", 2, -1), IF(OR(_xlpm.LatestAction = "Final Return to General Stock", _xlpm.LatestAction = ""), "", _xlpm.LatestDate) )</f>
        <v>15/10/2026</v>
      </c>
      <c r="G63" s="7" t="str">
        <f>_xlfn.XLOOKUP("*" &amp; A63 &amp; "*", 'Form Responses 1'!C:C, 'Form Responses 1'!G:G, "Not Inspected", 2, -1)</f>
        <v>Not Inspected</v>
      </c>
      <c r="H63" s="7">
        <f>_xlfn.XLOOKUP("*" &amp; A63 &amp; "*", 'Form Responses 1'!C:C, 'Form Responses 1'!H:H, "", 2, -1)</f>
        <v>0</v>
      </c>
    </row>
    <row r="64" spans="1:8" hidden="1" x14ac:dyDescent="0.3">
      <c r="C64" s="7" t="str">
        <f ca="1">_xlfn.LET( _xlpm.LatestAction, _xlfn.XLOOKUP("*" &amp; A64 &amp; "*", 'Form Responses 1'!C:C, 'Form Responses 1'!B:B, "Available", 2, -1), _xlpm.LatestInsp, _xlfn.XLOOKUP("*" &amp; A64 &amp; "*", 'Form Responses 1'!C:C, 'Form Responses 1'!G:G, "", 2, -1), _xlpm.LatestDate, _xlfn.XLOOKUP("*" &amp; A64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64" s="7" t="str">
        <f>_xlfn.LET( _xlpm.LatestAction, _xlfn.XLOOKUP("*" &amp; A64 &amp; "*", 'Form Responses 1'!C:C, 'Form Responses 1'!B:B, "", 2, -1), _xlpm.LatestTrainer, _xlfn.XLOOKUP("*" &amp; A64 &amp; "*", 'Form Responses 1'!C:C, 'Form Responses 1'!D:D, "", 2, -1), IF(OR(_xlpm.LatestAction = "Final Return to General Stock", _xlpm.LatestAction = ""), "", _xlpm.LatestTrainer) )</f>
        <v>Simon</v>
      </c>
      <c r="E64" s="7" t="str">
        <f>_xlfn.LET( _xlpm.LatestAction, _xlfn.XLOOKUP("*" &amp; A64 &amp; "*", 'Form Responses 1'!C:C, 'Form Responses 1'!B:B, "", 2, -1), _xlpm.LatestCand, _xlfn.XLOOKUP("*" &amp; A64 &amp; "*", 'Form Responses 1'!C:C, 'Form Responses 1'!E:E, "", 2, -1), IF(OR(_xlpm.LatestAction = "Final Return to General Stock", _xlpm.LatestAction = ""), "", _xlpm.LatestCand) )</f>
        <v>Dave</v>
      </c>
      <c r="F64" s="8" t="str">
        <f>_xlfn.LET( _xlpm.LatestAction, _xlfn.XLOOKUP("*" &amp; A64 &amp; "*", 'Form Responses 1'!C:C, 'Form Responses 1'!B:B, "", 2, -1), _xlpm.LatestDate, _xlfn.XLOOKUP("*" &amp; A64 &amp; "*", 'Form Responses 1'!C:C, 'Form Responses 1'!F:F, "", 2, -1), IF(OR(_xlpm.LatestAction = "Final Return to General Stock", _xlpm.LatestAction = ""), "", _xlpm.LatestDate) )</f>
        <v>15/10/2026</v>
      </c>
      <c r="G64" s="7" t="str">
        <f>_xlfn.XLOOKUP("*" &amp; A64 &amp; "*", 'Form Responses 1'!C:C, 'Form Responses 1'!G:G, "Not Inspected", 2, -1)</f>
        <v>Not Inspected</v>
      </c>
      <c r="H64" s="7">
        <f>_xlfn.XLOOKUP("*" &amp; A64 &amp; "*", 'Form Responses 1'!C:C, 'Form Responses 1'!H:H, "", 2, -1)</f>
        <v>0</v>
      </c>
    </row>
    <row r="65" spans="3:8" hidden="1" x14ac:dyDescent="0.3">
      <c r="C65" s="7" t="str">
        <f ca="1">_xlfn.LET( _xlpm.LatestAction, _xlfn.XLOOKUP("*" &amp; A65 &amp; "*", 'Form Responses 1'!C:C, 'Form Responses 1'!B:B, "Available", 2, -1), _xlpm.LatestInsp, _xlfn.XLOOKUP("*" &amp; A65 &amp; "*", 'Form Responses 1'!C:C, 'Form Responses 1'!G:G, "", 2, -1), _xlpm.LatestDate, _xlfn.XLOOKUP("*" &amp; A65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65" s="7" t="str">
        <f>_xlfn.LET( _xlpm.LatestAction, _xlfn.XLOOKUP("*" &amp; A65 &amp; "*", 'Form Responses 1'!C:C, 'Form Responses 1'!B:B, "", 2, -1), _xlpm.LatestTrainer, _xlfn.XLOOKUP("*" &amp; A65 &amp; "*", 'Form Responses 1'!C:C, 'Form Responses 1'!D:D, "", 2, -1), IF(OR(_xlpm.LatestAction = "Final Return to General Stock", _xlpm.LatestAction = ""), "", _xlpm.LatestTrainer) )</f>
        <v>Simon</v>
      </c>
      <c r="E65" s="7" t="str">
        <f>_xlfn.LET( _xlpm.LatestAction, _xlfn.XLOOKUP("*" &amp; A65 &amp; "*", 'Form Responses 1'!C:C, 'Form Responses 1'!B:B, "", 2, -1), _xlpm.LatestCand, _xlfn.XLOOKUP("*" &amp; A65 &amp; "*", 'Form Responses 1'!C:C, 'Form Responses 1'!E:E, "", 2, -1), IF(OR(_xlpm.LatestAction = "Final Return to General Stock", _xlpm.LatestAction = ""), "", _xlpm.LatestCand) )</f>
        <v>Dave</v>
      </c>
      <c r="F65" s="8" t="str">
        <f>_xlfn.LET( _xlpm.LatestAction, _xlfn.XLOOKUP("*" &amp; A65 &amp; "*", 'Form Responses 1'!C:C, 'Form Responses 1'!B:B, "", 2, -1), _xlpm.LatestDate, _xlfn.XLOOKUP("*" &amp; A65 &amp; "*", 'Form Responses 1'!C:C, 'Form Responses 1'!F:F, "", 2, -1), IF(OR(_xlpm.LatestAction = "Final Return to General Stock", _xlpm.LatestAction = ""), "", _xlpm.LatestDate) )</f>
        <v>15/10/2026</v>
      </c>
      <c r="G65" s="7" t="str">
        <f>_xlfn.XLOOKUP("*" &amp; A65 &amp; "*", 'Form Responses 1'!C:C, 'Form Responses 1'!G:G, "Not Inspected", 2, -1)</f>
        <v>Not Inspected</v>
      </c>
      <c r="H65" s="7">
        <f>_xlfn.XLOOKUP("*" &amp; A65 &amp; "*", 'Form Responses 1'!C:C, 'Form Responses 1'!H:H, "", 2, -1)</f>
        <v>0</v>
      </c>
    </row>
    <row r="66" spans="3:8" hidden="1" x14ac:dyDescent="0.3">
      <c r="C66" s="7" t="str">
        <f ca="1">_xlfn.LET( _xlpm.LatestAction, _xlfn.XLOOKUP("*" &amp; A66 &amp; "*", 'Form Responses 1'!C:C, 'Form Responses 1'!B:B, "Available", 2, -1), _xlpm.LatestInsp, _xlfn.XLOOKUP("*" &amp; A66 &amp; "*", 'Form Responses 1'!C:C, 'Form Responses 1'!G:G, "", 2, -1), _xlpm.LatestDate, _xlfn.XLOOKUP("*" &amp; A66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66" s="7" t="str">
        <f>_xlfn.LET( _xlpm.LatestAction, _xlfn.XLOOKUP("*" &amp; A66 &amp; "*", 'Form Responses 1'!C:C, 'Form Responses 1'!B:B, "", 2, -1), _xlpm.LatestTrainer, _xlfn.XLOOKUP("*" &amp; A66 &amp; "*", 'Form Responses 1'!C:C, 'Form Responses 1'!D:D, "", 2, -1), IF(OR(_xlpm.LatestAction = "Final Return to General Stock", _xlpm.LatestAction = ""), "", _xlpm.LatestTrainer) )</f>
        <v>Simon</v>
      </c>
      <c r="E66" s="7" t="str">
        <f>_xlfn.LET( _xlpm.LatestAction, _xlfn.XLOOKUP("*" &amp; A66 &amp; "*", 'Form Responses 1'!C:C, 'Form Responses 1'!B:B, "", 2, -1), _xlpm.LatestCand, _xlfn.XLOOKUP("*" &amp; A66 &amp; "*", 'Form Responses 1'!C:C, 'Form Responses 1'!E:E, "", 2, -1), IF(OR(_xlpm.LatestAction = "Final Return to General Stock", _xlpm.LatestAction = ""), "", _xlpm.LatestCand) )</f>
        <v>Dave</v>
      </c>
      <c r="F66" s="8" t="str">
        <f>_xlfn.LET( _xlpm.LatestAction, _xlfn.XLOOKUP("*" &amp; A66 &amp; "*", 'Form Responses 1'!C:C, 'Form Responses 1'!B:B, "", 2, -1), _xlpm.LatestDate, _xlfn.XLOOKUP("*" &amp; A66 &amp; "*", 'Form Responses 1'!C:C, 'Form Responses 1'!F:F, "", 2, -1), IF(OR(_xlpm.LatestAction = "Final Return to General Stock", _xlpm.LatestAction = ""), "", _xlpm.LatestDate) )</f>
        <v>15/10/2026</v>
      </c>
      <c r="G66" s="7" t="str">
        <f>_xlfn.XLOOKUP("*" &amp; A66 &amp; "*", 'Form Responses 1'!C:C, 'Form Responses 1'!G:G, "Not Inspected", 2, -1)</f>
        <v>Not Inspected</v>
      </c>
      <c r="H66" s="7">
        <f>_xlfn.XLOOKUP("*" &amp; A66 &amp; "*", 'Form Responses 1'!C:C, 'Form Responses 1'!H:H, "", 2, -1)</f>
        <v>0</v>
      </c>
    </row>
    <row r="67" spans="3:8" hidden="1" x14ac:dyDescent="0.3">
      <c r="C67" s="7" t="str">
        <f ca="1">_xlfn.LET( _xlpm.LatestAction, _xlfn.XLOOKUP("*" &amp; A67 &amp; "*", 'Form Responses 1'!C:C, 'Form Responses 1'!B:B, "Available", 2, -1), _xlpm.LatestInsp, _xlfn.XLOOKUP("*" &amp; A67 &amp; "*", 'Form Responses 1'!C:C, 'Form Responses 1'!G:G, "", 2, -1), _xlpm.LatestDate, _xlfn.XLOOKUP("*" &amp; A67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67" s="7" t="str">
        <f>_xlfn.LET( _xlpm.LatestAction, _xlfn.XLOOKUP("*" &amp; A67 &amp; "*", 'Form Responses 1'!C:C, 'Form Responses 1'!B:B, "", 2, -1), _xlpm.LatestTrainer, _xlfn.XLOOKUP("*" &amp; A67 &amp; "*", 'Form Responses 1'!C:C, 'Form Responses 1'!D:D, "", 2, -1), IF(OR(_xlpm.LatestAction = "Final Return to General Stock", _xlpm.LatestAction = ""), "", _xlpm.LatestTrainer) )</f>
        <v>Simon</v>
      </c>
      <c r="E67" s="7" t="str">
        <f>_xlfn.LET( _xlpm.LatestAction, _xlfn.XLOOKUP("*" &amp; A67 &amp; "*", 'Form Responses 1'!C:C, 'Form Responses 1'!B:B, "", 2, -1), _xlpm.LatestCand, _xlfn.XLOOKUP("*" &amp; A67 &amp; "*", 'Form Responses 1'!C:C, 'Form Responses 1'!E:E, "", 2, -1), IF(OR(_xlpm.LatestAction = "Final Return to General Stock", _xlpm.LatestAction = ""), "", _xlpm.LatestCand) )</f>
        <v>Dave</v>
      </c>
      <c r="F67" s="8" t="str">
        <f>_xlfn.LET( _xlpm.LatestAction, _xlfn.XLOOKUP("*" &amp; A67 &amp; "*", 'Form Responses 1'!C:C, 'Form Responses 1'!B:B, "", 2, -1), _xlpm.LatestDate, _xlfn.XLOOKUP("*" &amp; A67 &amp; "*", 'Form Responses 1'!C:C, 'Form Responses 1'!F:F, "", 2, -1), IF(OR(_xlpm.LatestAction = "Final Return to General Stock", _xlpm.LatestAction = ""), "", _xlpm.LatestDate) )</f>
        <v>15/10/2026</v>
      </c>
      <c r="G67" s="7" t="str">
        <f>_xlfn.XLOOKUP("*" &amp; A67 &amp; "*", 'Form Responses 1'!C:C, 'Form Responses 1'!G:G, "Not Inspected", 2, -1)</f>
        <v>Not Inspected</v>
      </c>
      <c r="H67" s="7">
        <f>_xlfn.XLOOKUP("*" &amp; A67 &amp; "*", 'Form Responses 1'!C:C, 'Form Responses 1'!H:H, "", 2, -1)</f>
        <v>0</v>
      </c>
    </row>
    <row r="68" spans="3:8" hidden="1" x14ac:dyDescent="0.3">
      <c r="C68" s="7" t="str">
        <f ca="1">_xlfn.LET( _xlpm.LatestAction, _xlfn.XLOOKUP("*" &amp; A68 &amp; "*", 'Form Responses 1'!C:C, 'Form Responses 1'!B:B, "Available", 2, -1), _xlpm.LatestInsp, _xlfn.XLOOKUP("*" &amp; A68 &amp; "*", 'Form Responses 1'!C:C, 'Form Responses 1'!G:G, "", 2, -1), _xlpm.LatestDate, _xlfn.XLOOKUP("*" &amp; A68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68" s="7" t="str">
        <f>_xlfn.LET( _xlpm.LatestAction, _xlfn.XLOOKUP("*" &amp; A68 &amp; "*", 'Form Responses 1'!C:C, 'Form Responses 1'!B:B, "", 2, -1), _xlpm.LatestTrainer, _xlfn.XLOOKUP("*" &amp; A68 &amp; "*", 'Form Responses 1'!C:C, 'Form Responses 1'!D:D, "", 2, -1), IF(OR(_xlpm.LatestAction = "Final Return to General Stock", _xlpm.LatestAction = ""), "", _xlpm.LatestTrainer) )</f>
        <v>Simon</v>
      </c>
      <c r="E68" s="7" t="str">
        <f>_xlfn.LET( _xlpm.LatestAction, _xlfn.XLOOKUP("*" &amp; A68 &amp; "*", 'Form Responses 1'!C:C, 'Form Responses 1'!B:B, "", 2, -1), _xlpm.LatestCand, _xlfn.XLOOKUP("*" &amp; A68 &amp; "*", 'Form Responses 1'!C:C, 'Form Responses 1'!E:E, "", 2, -1), IF(OR(_xlpm.LatestAction = "Final Return to General Stock", _xlpm.LatestAction = ""), "", _xlpm.LatestCand) )</f>
        <v>Dave</v>
      </c>
      <c r="F68" s="8" t="str">
        <f>_xlfn.LET( _xlpm.LatestAction, _xlfn.XLOOKUP("*" &amp; A68 &amp; "*", 'Form Responses 1'!C:C, 'Form Responses 1'!B:B, "", 2, -1), _xlpm.LatestDate, _xlfn.XLOOKUP("*" &amp; A68 &amp; "*", 'Form Responses 1'!C:C, 'Form Responses 1'!F:F, "", 2, -1), IF(OR(_xlpm.LatestAction = "Final Return to General Stock", _xlpm.LatestAction = ""), "", _xlpm.LatestDate) )</f>
        <v>15/10/2026</v>
      </c>
      <c r="G68" s="7" t="str">
        <f>_xlfn.XLOOKUP("*" &amp; A68 &amp; "*", 'Form Responses 1'!C:C, 'Form Responses 1'!G:G, "Not Inspected", 2, -1)</f>
        <v>Not Inspected</v>
      </c>
      <c r="H68" s="7">
        <f>_xlfn.XLOOKUP("*" &amp; A68 &amp; "*", 'Form Responses 1'!C:C, 'Form Responses 1'!H:H, "", 2, -1)</f>
        <v>0</v>
      </c>
    </row>
    <row r="69" spans="3:8" hidden="1" x14ac:dyDescent="0.3">
      <c r="C69" s="7" t="str">
        <f ca="1">_xlfn.LET( _xlpm.LatestAction, _xlfn.XLOOKUP("*" &amp; A69 &amp; "*", 'Form Responses 1'!C:C, 'Form Responses 1'!B:B, "Available", 2, -1), _xlpm.LatestInsp, _xlfn.XLOOKUP("*" &amp; A69 &amp; "*", 'Form Responses 1'!C:C, 'Form Responses 1'!G:G, "", 2, -1), _xlpm.LatestDate, _xlfn.XLOOKUP("*" &amp; A69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69" s="7" t="str">
        <f>_xlfn.LET( _xlpm.LatestAction, _xlfn.XLOOKUP("*" &amp; A69 &amp; "*", 'Form Responses 1'!C:C, 'Form Responses 1'!B:B, "", 2, -1), _xlpm.LatestTrainer, _xlfn.XLOOKUP("*" &amp; A69 &amp; "*", 'Form Responses 1'!C:C, 'Form Responses 1'!D:D, "", 2, -1), IF(OR(_xlpm.LatestAction = "Final Return to General Stock", _xlpm.LatestAction = ""), "", _xlpm.LatestTrainer) )</f>
        <v>Simon</v>
      </c>
      <c r="E69" s="7" t="str">
        <f>_xlfn.LET( _xlpm.LatestAction, _xlfn.XLOOKUP("*" &amp; A69 &amp; "*", 'Form Responses 1'!C:C, 'Form Responses 1'!B:B, "", 2, -1), _xlpm.LatestCand, _xlfn.XLOOKUP("*" &amp; A69 &amp; "*", 'Form Responses 1'!C:C, 'Form Responses 1'!E:E, "", 2, -1), IF(OR(_xlpm.LatestAction = "Final Return to General Stock", _xlpm.LatestAction = ""), "", _xlpm.LatestCand) )</f>
        <v>Dave</v>
      </c>
      <c r="F69" s="8" t="str">
        <f>_xlfn.LET( _xlpm.LatestAction, _xlfn.XLOOKUP("*" &amp; A69 &amp; "*", 'Form Responses 1'!C:C, 'Form Responses 1'!B:B, "", 2, -1), _xlpm.LatestDate, _xlfn.XLOOKUP("*" &amp; A69 &amp; "*", 'Form Responses 1'!C:C, 'Form Responses 1'!F:F, "", 2, -1), IF(OR(_xlpm.LatestAction = "Final Return to General Stock", _xlpm.LatestAction = ""), "", _xlpm.LatestDate) )</f>
        <v>15/10/2026</v>
      </c>
      <c r="G69" s="7" t="str">
        <f>_xlfn.XLOOKUP("*" &amp; A69 &amp; "*", 'Form Responses 1'!C:C, 'Form Responses 1'!G:G, "Not Inspected", 2, -1)</f>
        <v>Not Inspected</v>
      </c>
      <c r="H69" s="7">
        <f>_xlfn.XLOOKUP("*" &amp; A69 &amp; "*", 'Form Responses 1'!C:C, 'Form Responses 1'!H:H, "", 2, -1)</f>
        <v>0</v>
      </c>
    </row>
    <row r="70" spans="3:8" hidden="1" x14ac:dyDescent="0.3">
      <c r="C70" s="7" t="str">
        <f ca="1">_xlfn.LET( _xlpm.LatestAction, _xlfn.XLOOKUP("*" &amp; A70 &amp; "*", 'Form Responses 1'!C:C, 'Form Responses 1'!B:B, "Available", 2, -1), _xlpm.LatestInsp, _xlfn.XLOOKUP("*" &amp; A70 &amp; "*", 'Form Responses 1'!C:C, 'Form Responses 1'!G:G, "", 2, -1), _xlpm.LatestDate, _xlfn.XLOOKUP("*" &amp; A70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70" s="7" t="str">
        <f>_xlfn.LET( _xlpm.LatestAction, _xlfn.XLOOKUP("*" &amp; A70 &amp; "*", 'Form Responses 1'!C:C, 'Form Responses 1'!B:B, "", 2, -1), _xlpm.LatestTrainer, _xlfn.XLOOKUP("*" &amp; A70 &amp; "*", 'Form Responses 1'!C:C, 'Form Responses 1'!D:D, "", 2, -1), IF(OR(_xlpm.LatestAction = "Final Return to General Stock", _xlpm.LatestAction = ""), "", _xlpm.LatestTrainer) )</f>
        <v>Simon</v>
      </c>
      <c r="E70" s="7" t="str">
        <f>_xlfn.LET( _xlpm.LatestAction, _xlfn.XLOOKUP("*" &amp; A70 &amp; "*", 'Form Responses 1'!C:C, 'Form Responses 1'!B:B, "", 2, -1), _xlpm.LatestCand, _xlfn.XLOOKUP("*" &amp; A70 &amp; "*", 'Form Responses 1'!C:C, 'Form Responses 1'!E:E, "", 2, -1), IF(OR(_xlpm.LatestAction = "Final Return to General Stock", _xlpm.LatestAction = ""), "", _xlpm.LatestCand) )</f>
        <v>Dave</v>
      </c>
      <c r="F70" s="8" t="str">
        <f>_xlfn.LET( _xlpm.LatestAction, _xlfn.XLOOKUP("*" &amp; A70 &amp; "*", 'Form Responses 1'!C:C, 'Form Responses 1'!B:B, "", 2, -1), _xlpm.LatestDate, _xlfn.XLOOKUP("*" &amp; A70 &amp; "*", 'Form Responses 1'!C:C, 'Form Responses 1'!F:F, "", 2, -1), IF(OR(_xlpm.LatestAction = "Final Return to General Stock", _xlpm.LatestAction = ""), "", _xlpm.LatestDate) )</f>
        <v>15/10/2026</v>
      </c>
      <c r="G70" s="7" t="str">
        <f>_xlfn.XLOOKUP("*" &amp; A70 &amp; "*", 'Form Responses 1'!C:C, 'Form Responses 1'!G:G, "Not Inspected", 2, -1)</f>
        <v>Not Inspected</v>
      </c>
      <c r="H70" s="7">
        <f>_xlfn.XLOOKUP("*" &amp; A70 &amp; "*", 'Form Responses 1'!C:C, 'Form Responses 1'!H:H, "", 2, -1)</f>
        <v>0</v>
      </c>
    </row>
    <row r="71" spans="3:8" hidden="1" x14ac:dyDescent="0.3">
      <c r="C71" s="7" t="str">
        <f ca="1">_xlfn.LET( _xlpm.LatestAction, _xlfn.XLOOKUP("*" &amp; A71 &amp; "*", 'Form Responses 1'!C:C, 'Form Responses 1'!B:B, "Available", 2, -1), _xlpm.LatestInsp, _xlfn.XLOOKUP("*" &amp; A71 &amp; "*", 'Form Responses 1'!C:C, 'Form Responses 1'!G:G, "", 2, -1), _xlpm.LatestDate, _xlfn.XLOOKUP("*" &amp; A71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71" s="7" t="str">
        <f>_xlfn.LET( _xlpm.LatestAction, _xlfn.XLOOKUP("*" &amp; A71 &amp; "*", 'Form Responses 1'!C:C, 'Form Responses 1'!B:B, "", 2, -1), _xlpm.LatestTrainer, _xlfn.XLOOKUP("*" &amp; A71 &amp; "*", 'Form Responses 1'!C:C, 'Form Responses 1'!D:D, "", 2, -1), IF(OR(_xlpm.LatestAction = "Final Return to General Stock", _xlpm.LatestAction = ""), "", _xlpm.LatestTrainer) )</f>
        <v>Simon</v>
      </c>
      <c r="E71" s="7" t="str">
        <f>_xlfn.LET( _xlpm.LatestAction, _xlfn.XLOOKUP("*" &amp; A71 &amp; "*", 'Form Responses 1'!C:C, 'Form Responses 1'!B:B, "", 2, -1), _xlpm.LatestCand, _xlfn.XLOOKUP("*" &amp; A71 &amp; "*", 'Form Responses 1'!C:C, 'Form Responses 1'!E:E, "", 2, -1), IF(OR(_xlpm.LatestAction = "Final Return to General Stock", _xlpm.LatestAction = ""), "", _xlpm.LatestCand) )</f>
        <v>Dave</v>
      </c>
      <c r="F71" s="8" t="str">
        <f>_xlfn.LET( _xlpm.LatestAction, _xlfn.XLOOKUP("*" &amp; A71 &amp; "*", 'Form Responses 1'!C:C, 'Form Responses 1'!B:B, "", 2, -1), _xlpm.LatestDate, _xlfn.XLOOKUP("*" &amp; A71 &amp; "*", 'Form Responses 1'!C:C, 'Form Responses 1'!F:F, "", 2, -1), IF(OR(_xlpm.LatestAction = "Final Return to General Stock", _xlpm.LatestAction = ""), "", _xlpm.LatestDate) )</f>
        <v>15/10/2026</v>
      </c>
      <c r="G71" s="7" t="str">
        <f>_xlfn.XLOOKUP("*" &amp; A71 &amp; "*", 'Form Responses 1'!C:C, 'Form Responses 1'!G:G, "Not Inspected", 2, -1)</f>
        <v>Not Inspected</v>
      </c>
      <c r="H71" s="7">
        <f>_xlfn.XLOOKUP("*" &amp; A71 &amp; "*", 'Form Responses 1'!C:C, 'Form Responses 1'!H:H, "", 2, -1)</f>
        <v>0</v>
      </c>
    </row>
    <row r="72" spans="3:8" hidden="1" x14ac:dyDescent="0.3">
      <c r="C72" s="7" t="str">
        <f ca="1">_xlfn.LET( _xlpm.LatestAction, _xlfn.XLOOKUP("*" &amp; A72 &amp; "*", 'Form Responses 1'!C:C, 'Form Responses 1'!B:B, "Available", 2, -1), _xlpm.LatestInsp, _xlfn.XLOOKUP("*" &amp; A72 &amp; "*", 'Form Responses 1'!C:C, 'Form Responses 1'!G:G, "", 2, -1), _xlpm.LatestDate, _xlfn.XLOOKUP("*" &amp; A72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72" s="7" t="str">
        <f>_xlfn.LET( _xlpm.LatestAction, _xlfn.XLOOKUP("*" &amp; A72 &amp; "*", 'Form Responses 1'!C:C, 'Form Responses 1'!B:B, "", 2, -1), _xlpm.LatestTrainer, _xlfn.XLOOKUP("*" &amp; A72 &amp; "*", 'Form Responses 1'!C:C, 'Form Responses 1'!D:D, "", 2, -1), IF(OR(_xlpm.LatestAction = "Final Return to General Stock", _xlpm.LatestAction = ""), "", _xlpm.LatestTrainer) )</f>
        <v>Simon</v>
      </c>
      <c r="E72" s="7" t="str">
        <f>_xlfn.LET( _xlpm.LatestAction, _xlfn.XLOOKUP("*" &amp; A72 &amp; "*", 'Form Responses 1'!C:C, 'Form Responses 1'!B:B, "", 2, -1), _xlpm.LatestCand, _xlfn.XLOOKUP("*" &amp; A72 &amp; "*", 'Form Responses 1'!C:C, 'Form Responses 1'!E:E, "", 2, -1), IF(OR(_xlpm.LatestAction = "Final Return to General Stock", _xlpm.LatestAction = ""), "", _xlpm.LatestCand) )</f>
        <v>Dave</v>
      </c>
      <c r="F72" s="8" t="str">
        <f>_xlfn.LET( _xlpm.LatestAction, _xlfn.XLOOKUP("*" &amp; A72 &amp; "*", 'Form Responses 1'!C:C, 'Form Responses 1'!B:B, "", 2, -1), _xlpm.LatestDate, _xlfn.XLOOKUP("*" &amp; A72 &amp; "*", 'Form Responses 1'!C:C, 'Form Responses 1'!F:F, "", 2, -1), IF(OR(_xlpm.LatestAction = "Final Return to General Stock", _xlpm.LatestAction = ""), "", _xlpm.LatestDate) )</f>
        <v>15/10/2026</v>
      </c>
      <c r="G72" s="7" t="str">
        <f>_xlfn.XLOOKUP("*" &amp; A72 &amp; "*", 'Form Responses 1'!C:C, 'Form Responses 1'!G:G, "Not Inspected", 2, -1)</f>
        <v>Not Inspected</v>
      </c>
      <c r="H72" s="7">
        <f>_xlfn.XLOOKUP("*" &amp; A72 &amp; "*", 'Form Responses 1'!C:C, 'Form Responses 1'!H:H, "", 2, -1)</f>
        <v>0</v>
      </c>
    </row>
    <row r="73" spans="3:8" hidden="1" x14ac:dyDescent="0.3">
      <c r="C73" s="7" t="str">
        <f ca="1">_xlfn.LET( _xlpm.LatestAction, _xlfn.XLOOKUP("*" &amp; A73 &amp; "*", 'Form Responses 1'!C:C, 'Form Responses 1'!B:B, "Available", 2, -1), _xlpm.LatestInsp, _xlfn.XLOOKUP("*" &amp; A73 &amp; "*", 'Form Responses 1'!C:C, 'Form Responses 1'!G:G, "", 2, -1), _xlpm.LatestDate, _xlfn.XLOOKUP("*" &amp; A73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73" s="7" t="str">
        <f>_xlfn.LET( _xlpm.LatestAction, _xlfn.XLOOKUP("*" &amp; A73 &amp; "*", 'Form Responses 1'!C:C, 'Form Responses 1'!B:B, "", 2, -1), _xlpm.LatestTrainer, _xlfn.XLOOKUP("*" &amp; A73 &amp; "*", 'Form Responses 1'!C:C, 'Form Responses 1'!D:D, "", 2, -1), IF(OR(_xlpm.LatestAction = "Final Return to General Stock", _xlpm.LatestAction = ""), "", _xlpm.LatestTrainer) )</f>
        <v>Simon</v>
      </c>
      <c r="E73" s="7" t="str">
        <f>_xlfn.LET( _xlpm.LatestAction, _xlfn.XLOOKUP("*" &amp; A73 &amp; "*", 'Form Responses 1'!C:C, 'Form Responses 1'!B:B, "", 2, -1), _xlpm.LatestCand, _xlfn.XLOOKUP("*" &amp; A73 &amp; "*", 'Form Responses 1'!C:C, 'Form Responses 1'!E:E, "", 2, -1), IF(OR(_xlpm.LatestAction = "Final Return to General Stock", _xlpm.LatestAction = ""), "", _xlpm.LatestCand) )</f>
        <v>Dave</v>
      </c>
      <c r="F73" s="8" t="str">
        <f>_xlfn.LET( _xlpm.LatestAction, _xlfn.XLOOKUP("*" &amp; A73 &amp; "*", 'Form Responses 1'!C:C, 'Form Responses 1'!B:B, "", 2, -1), _xlpm.LatestDate, _xlfn.XLOOKUP("*" &amp; A73 &amp; "*", 'Form Responses 1'!C:C, 'Form Responses 1'!F:F, "", 2, -1), IF(OR(_xlpm.LatestAction = "Final Return to General Stock", _xlpm.LatestAction = ""), "", _xlpm.LatestDate) )</f>
        <v>15/10/2026</v>
      </c>
      <c r="G73" s="7" t="str">
        <f>_xlfn.XLOOKUP("*" &amp; A73 &amp; "*", 'Form Responses 1'!C:C, 'Form Responses 1'!G:G, "Not Inspected", 2, -1)</f>
        <v>Not Inspected</v>
      </c>
      <c r="H73" s="7">
        <f>_xlfn.XLOOKUP("*" &amp; A73 &amp; "*", 'Form Responses 1'!C:C, 'Form Responses 1'!H:H, "", 2, -1)</f>
        <v>0</v>
      </c>
    </row>
    <row r="74" spans="3:8" hidden="1" x14ac:dyDescent="0.3">
      <c r="C74" s="7" t="str">
        <f ca="1">_xlfn.LET( _xlpm.LatestAction, _xlfn.XLOOKUP("*" &amp; A74 &amp; "*", 'Form Responses 1'!C:C, 'Form Responses 1'!B:B, "Available", 2, -1), _xlpm.LatestInsp, _xlfn.XLOOKUP("*" &amp; A74 &amp; "*", 'Form Responses 1'!C:C, 'Form Responses 1'!G:G, "", 2, -1), _xlpm.LatestDate, _xlfn.XLOOKUP("*" &amp; A74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74" s="7" t="str">
        <f>_xlfn.LET( _xlpm.LatestAction, _xlfn.XLOOKUP("*" &amp; A74 &amp; "*", 'Form Responses 1'!C:C, 'Form Responses 1'!B:B, "", 2, -1), _xlpm.LatestTrainer, _xlfn.XLOOKUP("*" &amp; A74 &amp; "*", 'Form Responses 1'!C:C, 'Form Responses 1'!D:D, "", 2, -1), IF(OR(_xlpm.LatestAction = "Final Return to General Stock", _xlpm.LatestAction = ""), "", _xlpm.LatestTrainer) )</f>
        <v>Simon</v>
      </c>
      <c r="E74" s="7" t="str">
        <f>_xlfn.LET( _xlpm.LatestAction, _xlfn.XLOOKUP("*" &amp; A74 &amp; "*", 'Form Responses 1'!C:C, 'Form Responses 1'!B:B, "", 2, -1), _xlpm.LatestCand, _xlfn.XLOOKUP("*" &amp; A74 &amp; "*", 'Form Responses 1'!C:C, 'Form Responses 1'!E:E, "", 2, -1), IF(OR(_xlpm.LatestAction = "Final Return to General Stock", _xlpm.LatestAction = ""), "", _xlpm.LatestCand) )</f>
        <v>Dave</v>
      </c>
      <c r="F74" s="8" t="str">
        <f>_xlfn.LET( _xlpm.LatestAction, _xlfn.XLOOKUP("*" &amp; A74 &amp; "*", 'Form Responses 1'!C:C, 'Form Responses 1'!B:B, "", 2, -1), _xlpm.LatestDate, _xlfn.XLOOKUP("*" &amp; A74 &amp; "*", 'Form Responses 1'!C:C, 'Form Responses 1'!F:F, "", 2, -1), IF(OR(_xlpm.LatestAction = "Final Return to General Stock", _xlpm.LatestAction = ""), "", _xlpm.LatestDate) )</f>
        <v>15/10/2026</v>
      </c>
      <c r="G74" s="7" t="str">
        <f>_xlfn.XLOOKUP("*" &amp; A74 &amp; "*", 'Form Responses 1'!C:C, 'Form Responses 1'!G:G, "Not Inspected", 2, -1)</f>
        <v>Not Inspected</v>
      </c>
      <c r="H74" s="7">
        <f>_xlfn.XLOOKUP("*" &amp; A74 &amp; "*", 'Form Responses 1'!C:C, 'Form Responses 1'!H:H, "", 2, -1)</f>
        <v>0</v>
      </c>
    </row>
    <row r="75" spans="3:8" hidden="1" x14ac:dyDescent="0.3">
      <c r="C75" s="7" t="str">
        <f ca="1">_xlfn.LET( _xlpm.LatestAction, _xlfn.XLOOKUP("*" &amp; A75 &amp; "*", 'Form Responses 1'!C:C, 'Form Responses 1'!B:B, "Available", 2, -1), _xlpm.LatestInsp, _xlfn.XLOOKUP("*" &amp; A75 &amp; "*", 'Form Responses 1'!C:C, 'Form Responses 1'!G:G, "", 2, -1), _xlpm.LatestDate, _xlfn.XLOOKUP("*" &amp; A75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75" s="7" t="str">
        <f>_xlfn.LET( _xlpm.LatestAction, _xlfn.XLOOKUP("*" &amp; A75 &amp; "*", 'Form Responses 1'!C:C, 'Form Responses 1'!B:B, "", 2, -1), _xlpm.LatestTrainer, _xlfn.XLOOKUP("*" &amp; A75 &amp; "*", 'Form Responses 1'!C:C, 'Form Responses 1'!D:D, "", 2, -1), IF(OR(_xlpm.LatestAction = "Final Return to General Stock", _xlpm.LatestAction = ""), "", _xlpm.LatestTrainer) )</f>
        <v>Simon</v>
      </c>
      <c r="E75" s="7" t="str">
        <f>_xlfn.LET( _xlpm.LatestAction, _xlfn.XLOOKUP("*" &amp; A75 &amp; "*", 'Form Responses 1'!C:C, 'Form Responses 1'!B:B, "", 2, -1), _xlpm.LatestCand, _xlfn.XLOOKUP("*" &amp; A75 &amp; "*", 'Form Responses 1'!C:C, 'Form Responses 1'!E:E, "", 2, -1), IF(OR(_xlpm.LatestAction = "Final Return to General Stock", _xlpm.LatestAction = ""), "", _xlpm.LatestCand) )</f>
        <v>Dave</v>
      </c>
      <c r="F75" s="8" t="str">
        <f>_xlfn.LET( _xlpm.LatestAction, _xlfn.XLOOKUP("*" &amp; A75 &amp; "*", 'Form Responses 1'!C:C, 'Form Responses 1'!B:B, "", 2, -1), _xlpm.LatestDate, _xlfn.XLOOKUP("*" &amp; A75 &amp; "*", 'Form Responses 1'!C:C, 'Form Responses 1'!F:F, "", 2, -1), IF(OR(_xlpm.LatestAction = "Final Return to General Stock", _xlpm.LatestAction = ""), "", _xlpm.LatestDate) )</f>
        <v>15/10/2026</v>
      </c>
      <c r="G75" s="7" t="str">
        <f>_xlfn.XLOOKUP("*" &amp; A75 &amp; "*", 'Form Responses 1'!C:C, 'Form Responses 1'!G:G, "Not Inspected", 2, -1)</f>
        <v>Not Inspected</v>
      </c>
      <c r="H75" s="7">
        <f>_xlfn.XLOOKUP("*" &amp; A75 &amp; "*", 'Form Responses 1'!C:C, 'Form Responses 1'!H:H, "", 2, -1)</f>
        <v>0</v>
      </c>
    </row>
    <row r="76" spans="3:8" hidden="1" x14ac:dyDescent="0.3">
      <c r="C76" s="7" t="str">
        <f ca="1">_xlfn.LET( _xlpm.LatestAction, _xlfn.XLOOKUP("*" &amp; A76 &amp; "*", 'Form Responses 1'!C:C, 'Form Responses 1'!B:B, "Available", 2, -1), _xlpm.LatestInsp, _xlfn.XLOOKUP("*" &amp; A76 &amp; "*", 'Form Responses 1'!C:C, 'Form Responses 1'!G:G, "", 2, -1), _xlpm.LatestDate, _xlfn.XLOOKUP("*" &amp; A76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76" s="7" t="str">
        <f>_xlfn.LET( _xlpm.LatestAction, _xlfn.XLOOKUP("*" &amp; A76 &amp; "*", 'Form Responses 1'!C:C, 'Form Responses 1'!B:B, "", 2, -1), _xlpm.LatestTrainer, _xlfn.XLOOKUP("*" &amp; A76 &amp; "*", 'Form Responses 1'!C:C, 'Form Responses 1'!D:D, "", 2, -1), IF(OR(_xlpm.LatestAction = "Final Return to General Stock", _xlpm.LatestAction = ""), "", _xlpm.LatestTrainer) )</f>
        <v>Simon</v>
      </c>
      <c r="E76" s="7" t="str">
        <f>_xlfn.LET( _xlpm.LatestAction, _xlfn.XLOOKUP("*" &amp; A76 &amp; "*", 'Form Responses 1'!C:C, 'Form Responses 1'!B:B, "", 2, -1), _xlpm.LatestCand, _xlfn.XLOOKUP("*" &amp; A76 &amp; "*", 'Form Responses 1'!C:C, 'Form Responses 1'!E:E, "", 2, -1), IF(OR(_xlpm.LatestAction = "Final Return to General Stock", _xlpm.LatestAction = ""), "", _xlpm.LatestCand) )</f>
        <v>Dave</v>
      </c>
      <c r="F76" s="8" t="str">
        <f>_xlfn.LET( _xlpm.LatestAction, _xlfn.XLOOKUP("*" &amp; A76 &amp; "*", 'Form Responses 1'!C:C, 'Form Responses 1'!B:B, "", 2, -1), _xlpm.LatestDate, _xlfn.XLOOKUP("*" &amp; A76 &amp; "*", 'Form Responses 1'!C:C, 'Form Responses 1'!F:F, "", 2, -1), IF(OR(_xlpm.LatestAction = "Final Return to General Stock", _xlpm.LatestAction = ""), "", _xlpm.LatestDate) )</f>
        <v>15/10/2026</v>
      </c>
      <c r="G76" s="7" t="str">
        <f>_xlfn.XLOOKUP("*" &amp; A76 &amp; "*", 'Form Responses 1'!C:C, 'Form Responses 1'!G:G, "Not Inspected", 2, -1)</f>
        <v>Not Inspected</v>
      </c>
      <c r="H76" s="7">
        <f>_xlfn.XLOOKUP("*" &amp; A76 &amp; "*", 'Form Responses 1'!C:C, 'Form Responses 1'!H:H, "", 2, -1)</f>
        <v>0</v>
      </c>
    </row>
    <row r="77" spans="3:8" hidden="1" x14ac:dyDescent="0.3">
      <c r="C77" s="7" t="str">
        <f ca="1">_xlfn.LET( _xlpm.LatestAction, _xlfn.XLOOKUP("*" &amp; A77 &amp; "*", 'Form Responses 1'!C:C, 'Form Responses 1'!B:B, "Available", 2, -1), _xlpm.LatestInsp, _xlfn.XLOOKUP("*" &amp; A77 &amp; "*", 'Form Responses 1'!C:C, 'Form Responses 1'!G:G, "", 2, -1), _xlpm.LatestDate, _xlfn.XLOOKUP("*" &amp; A77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77" s="7" t="str">
        <f>_xlfn.LET( _xlpm.LatestAction, _xlfn.XLOOKUP("*" &amp; A77 &amp; "*", 'Form Responses 1'!C:C, 'Form Responses 1'!B:B, "", 2, -1), _xlpm.LatestTrainer, _xlfn.XLOOKUP("*" &amp; A77 &amp; "*", 'Form Responses 1'!C:C, 'Form Responses 1'!D:D, "", 2, -1), IF(OR(_xlpm.LatestAction = "Final Return to General Stock", _xlpm.LatestAction = ""), "", _xlpm.LatestTrainer) )</f>
        <v>Simon</v>
      </c>
      <c r="E77" s="7" t="str">
        <f>_xlfn.LET( _xlpm.LatestAction, _xlfn.XLOOKUP("*" &amp; A77 &amp; "*", 'Form Responses 1'!C:C, 'Form Responses 1'!B:B, "", 2, -1), _xlpm.LatestCand, _xlfn.XLOOKUP("*" &amp; A77 &amp; "*", 'Form Responses 1'!C:C, 'Form Responses 1'!E:E, "", 2, -1), IF(OR(_xlpm.LatestAction = "Final Return to General Stock", _xlpm.LatestAction = ""), "", _xlpm.LatestCand) )</f>
        <v>Dave</v>
      </c>
      <c r="F77" s="8" t="str">
        <f>_xlfn.LET( _xlpm.LatestAction, _xlfn.XLOOKUP("*" &amp; A77 &amp; "*", 'Form Responses 1'!C:C, 'Form Responses 1'!B:B, "", 2, -1), _xlpm.LatestDate, _xlfn.XLOOKUP("*" &amp; A77 &amp; "*", 'Form Responses 1'!C:C, 'Form Responses 1'!F:F, "", 2, -1), IF(OR(_xlpm.LatestAction = "Final Return to General Stock", _xlpm.LatestAction = ""), "", _xlpm.LatestDate) )</f>
        <v>15/10/2026</v>
      </c>
      <c r="G77" s="7" t="str">
        <f>_xlfn.XLOOKUP("*" &amp; A77 &amp; "*", 'Form Responses 1'!C:C, 'Form Responses 1'!G:G, "Not Inspected", 2, -1)</f>
        <v>Not Inspected</v>
      </c>
      <c r="H77" s="7">
        <f>_xlfn.XLOOKUP("*" &amp; A77 &amp; "*", 'Form Responses 1'!C:C, 'Form Responses 1'!H:H, "", 2, -1)</f>
        <v>0</v>
      </c>
    </row>
    <row r="78" spans="3:8" hidden="1" x14ac:dyDescent="0.3">
      <c r="C78" s="7" t="str">
        <f ca="1">_xlfn.LET( _xlpm.LatestAction, _xlfn.XLOOKUP("*" &amp; A78 &amp; "*", 'Form Responses 1'!C:C, 'Form Responses 1'!B:B, "Available", 2, -1), _xlpm.LatestInsp, _xlfn.XLOOKUP("*" &amp; A78 &amp; "*", 'Form Responses 1'!C:C, 'Form Responses 1'!G:G, "", 2, -1), _xlpm.LatestDate, _xlfn.XLOOKUP("*" &amp; A78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78" s="7" t="str">
        <f>_xlfn.LET( _xlpm.LatestAction, _xlfn.XLOOKUP("*" &amp; A78 &amp; "*", 'Form Responses 1'!C:C, 'Form Responses 1'!B:B, "", 2, -1), _xlpm.LatestTrainer, _xlfn.XLOOKUP("*" &amp; A78 &amp; "*", 'Form Responses 1'!C:C, 'Form Responses 1'!D:D, "", 2, -1), IF(OR(_xlpm.LatestAction = "Final Return to General Stock", _xlpm.LatestAction = ""), "", _xlpm.LatestTrainer) )</f>
        <v>Simon</v>
      </c>
      <c r="E78" s="7" t="str">
        <f>_xlfn.LET( _xlpm.LatestAction, _xlfn.XLOOKUP("*" &amp; A78 &amp; "*", 'Form Responses 1'!C:C, 'Form Responses 1'!B:B, "", 2, -1), _xlpm.LatestCand, _xlfn.XLOOKUP("*" &amp; A78 &amp; "*", 'Form Responses 1'!C:C, 'Form Responses 1'!E:E, "", 2, -1), IF(OR(_xlpm.LatestAction = "Final Return to General Stock", _xlpm.LatestAction = ""), "", _xlpm.LatestCand) )</f>
        <v>Dave</v>
      </c>
      <c r="F78" s="8" t="str">
        <f>_xlfn.LET( _xlpm.LatestAction, _xlfn.XLOOKUP("*" &amp; A78 &amp; "*", 'Form Responses 1'!C:C, 'Form Responses 1'!B:B, "", 2, -1), _xlpm.LatestDate, _xlfn.XLOOKUP("*" &amp; A78 &amp; "*", 'Form Responses 1'!C:C, 'Form Responses 1'!F:F, "", 2, -1), IF(OR(_xlpm.LatestAction = "Final Return to General Stock", _xlpm.LatestAction = ""), "", _xlpm.LatestDate) )</f>
        <v>15/10/2026</v>
      </c>
      <c r="G78" s="7" t="str">
        <f>_xlfn.XLOOKUP("*" &amp; A78 &amp; "*", 'Form Responses 1'!C:C, 'Form Responses 1'!G:G, "Not Inspected", 2, -1)</f>
        <v>Not Inspected</v>
      </c>
      <c r="H78" s="7">
        <f>_xlfn.XLOOKUP("*" &amp; A78 &amp; "*", 'Form Responses 1'!C:C, 'Form Responses 1'!H:H, "", 2, -1)</f>
        <v>0</v>
      </c>
    </row>
    <row r="79" spans="3:8" hidden="1" x14ac:dyDescent="0.3">
      <c r="C79" s="7" t="str">
        <f ca="1">_xlfn.LET( _xlpm.LatestAction, _xlfn.XLOOKUP("*" &amp; A79 &amp; "*", 'Form Responses 1'!C:C, 'Form Responses 1'!B:B, "Available", 2, -1), _xlpm.LatestInsp, _xlfn.XLOOKUP("*" &amp; A79 &amp; "*", 'Form Responses 1'!C:C, 'Form Responses 1'!G:G, "", 2, -1), _xlpm.LatestDate, _xlfn.XLOOKUP("*" &amp; A79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79" s="7" t="str">
        <f>_xlfn.LET( _xlpm.LatestAction, _xlfn.XLOOKUP("*" &amp; A79 &amp; "*", 'Form Responses 1'!C:C, 'Form Responses 1'!B:B, "", 2, -1), _xlpm.LatestTrainer, _xlfn.XLOOKUP("*" &amp; A79 &amp; "*", 'Form Responses 1'!C:C, 'Form Responses 1'!D:D, "", 2, -1), IF(OR(_xlpm.LatestAction = "Final Return to General Stock", _xlpm.LatestAction = ""), "", _xlpm.LatestTrainer) )</f>
        <v>Simon</v>
      </c>
      <c r="E79" s="7" t="str">
        <f>_xlfn.LET( _xlpm.LatestAction, _xlfn.XLOOKUP("*" &amp; A79 &amp; "*", 'Form Responses 1'!C:C, 'Form Responses 1'!B:B, "", 2, -1), _xlpm.LatestCand, _xlfn.XLOOKUP("*" &amp; A79 &amp; "*", 'Form Responses 1'!C:C, 'Form Responses 1'!E:E, "", 2, -1), IF(OR(_xlpm.LatestAction = "Final Return to General Stock", _xlpm.LatestAction = ""), "", _xlpm.LatestCand) )</f>
        <v>Dave</v>
      </c>
      <c r="F79" s="8" t="str">
        <f>_xlfn.LET( _xlpm.LatestAction, _xlfn.XLOOKUP("*" &amp; A79 &amp; "*", 'Form Responses 1'!C:C, 'Form Responses 1'!B:B, "", 2, -1), _xlpm.LatestDate, _xlfn.XLOOKUP("*" &amp; A79 &amp; "*", 'Form Responses 1'!C:C, 'Form Responses 1'!F:F, "", 2, -1), IF(OR(_xlpm.LatestAction = "Final Return to General Stock", _xlpm.LatestAction = ""), "", _xlpm.LatestDate) )</f>
        <v>15/10/2026</v>
      </c>
      <c r="G79" s="7" t="str">
        <f>_xlfn.XLOOKUP("*" &amp; A79 &amp; "*", 'Form Responses 1'!C:C, 'Form Responses 1'!G:G, "Not Inspected", 2, -1)</f>
        <v>Not Inspected</v>
      </c>
      <c r="H79" s="7">
        <f>_xlfn.XLOOKUP("*" &amp; A79 &amp; "*", 'Form Responses 1'!C:C, 'Form Responses 1'!H:H, "", 2, -1)</f>
        <v>0</v>
      </c>
    </row>
    <row r="80" spans="3:8" hidden="1" x14ac:dyDescent="0.3">
      <c r="C80" s="7" t="str">
        <f ca="1">_xlfn.LET( _xlpm.LatestAction, _xlfn.XLOOKUP("*" &amp; A80 &amp; "*", 'Form Responses 1'!C:C, 'Form Responses 1'!B:B, "Available", 2, -1), _xlpm.LatestInsp, _xlfn.XLOOKUP("*" &amp; A80 &amp; "*", 'Form Responses 1'!C:C, 'Form Responses 1'!G:G, "", 2, -1), _xlpm.LatestDate, _xlfn.XLOOKUP("*" &amp; A80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80" s="7" t="str">
        <f>_xlfn.LET( _xlpm.LatestAction, _xlfn.XLOOKUP("*" &amp; A80 &amp; "*", 'Form Responses 1'!C:C, 'Form Responses 1'!B:B, "", 2, -1), _xlpm.LatestTrainer, _xlfn.XLOOKUP("*" &amp; A80 &amp; "*", 'Form Responses 1'!C:C, 'Form Responses 1'!D:D, "", 2, -1), IF(OR(_xlpm.LatestAction = "Final Return to General Stock", _xlpm.LatestAction = ""), "", _xlpm.LatestTrainer) )</f>
        <v>Simon</v>
      </c>
      <c r="E80" s="7" t="str">
        <f>_xlfn.LET( _xlpm.LatestAction, _xlfn.XLOOKUP("*" &amp; A80 &amp; "*", 'Form Responses 1'!C:C, 'Form Responses 1'!B:B, "", 2, -1), _xlpm.LatestCand, _xlfn.XLOOKUP("*" &amp; A80 &amp; "*", 'Form Responses 1'!C:C, 'Form Responses 1'!E:E, "", 2, -1), IF(OR(_xlpm.LatestAction = "Final Return to General Stock", _xlpm.LatestAction = ""), "", _xlpm.LatestCand) )</f>
        <v>Dave</v>
      </c>
      <c r="F80" s="8" t="str">
        <f>_xlfn.LET( _xlpm.LatestAction, _xlfn.XLOOKUP("*" &amp; A80 &amp; "*", 'Form Responses 1'!C:C, 'Form Responses 1'!B:B, "", 2, -1), _xlpm.LatestDate, _xlfn.XLOOKUP("*" &amp; A80 &amp; "*", 'Form Responses 1'!C:C, 'Form Responses 1'!F:F, "", 2, -1), IF(OR(_xlpm.LatestAction = "Final Return to General Stock", _xlpm.LatestAction = ""), "", _xlpm.LatestDate) )</f>
        <v>15/10/2026</v>
      </c>
      <c r="G80" s="7" t="str">
        <f>_xlfn.XLOOKUP("*" &amp; A80 &amp; "*", 'Form Responses 1'!C:C, 'Form Responses 1'!G:G, "Not Inspected", 2, -1)</f>
        <v>Not Inspected</v>
      </c>
      <c r="H80" s="7">
        <f>_xlfn.XLOOKUP("*" &amp; A80 &amp; "*", 'Form Responses 1'!C:C, 'Form Responses 1'!H:H, "", 2, -1)</f>
        <v>0</v>
      </c>
    </row>
    <row r="81" spans="3:8" hidden="1" x14ac:dyDescent="0.3">
      <c r="C81" s="7" t="str">
        <f ca="1">_xlfn.LET( _xlpm.LatestAction, _xlfn.XLOOKUP("*" &amp; A81 &amp; "*", 'Form Responses 1'!C:C, 'Form Responses 1'!B:B, "Available", 2, -1), _xlpm.LatestInsp, _xlfn.XLOOKUP("*" &amp; A81 &amp; "*", 'Form Responses 1'!C:C, 'Form Responses 1'!G:G, "", 2, -1), _xlpm.LatestDate, _xlfn.XLOOKUP("*" &amp; A81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81" s="7" t="str">
        <f>_xlfn.LET( _xlpm.LatestAction, _xlfn.XLOOKUP("*" &amp; A81 &amp; "*", 'Form Responses 1'!C:C, 'Form Responses 1'!B:B, "", 2, -1), _xlpm.LatestTrainer, _xlfn.XLOOKUP("*" &amp; A81 &amp; "*", 'Form Responses 1'!C:C, 'Form Responses 1'!D:D, "", 2, -1), IF(OR(_xlpm.LatestAction = "Final Return to General Stock", _xlpm.LatestAction = ""), "", _xlpm.LatestTrainer) )</f>
        <v>Simon</v>
      </c>
      <c r="E81" s="7" t="str">
        <f>_xlfn.LET( _xlpm.LatestAction, _xlfn.XLOOKUP("*" &amp; A81 &amp; "*", 'Form Responses 1'!C:C, 'Form Responses 1'!B:B, "", 2, -1), _xlpm.LatestCand, _xlfn.XLOOKUP("*" &amp; A81 &amp; "*", 'Form Responses 1'!C:C, 'Form Responses 1'!E:E, "", 2, -1), IF(OR(_xlpm.LatestAction = "Final Return to General Stock", _xlpm.LatestAction = ""), "", _xlpm.LatestCand) )</f>
        <v>Dave</v>
      </c>
      <c r="F81" s="8" t="str">
        <f>_xlfn.LET( _xlpm.LatestAction, _xlfn.XLOOKUP("*" &amp; A81 &amp; "*", 'Form Responses 1'!C:C, 'Form Responses 1'!B:B, "", 2, -1), _xlpm.LatestDate, _xlfn.XLOOKUP("*" &amp; A81 &amp; "*", 'Form Responses 1'!C:C, 'Form Responses 1'!F:F, "", 2, -1), IF(OR(_xlpm.LatestAction = "Final Return to General Stock", _xlpm.LatestAction = ""), "", _xlpm.LatestDate) )</f>
        <v>15/10/2026</v>
      </c>
      <c r="G81" s="7" t="str">
        <f>_xlfn.XLOOKUP("*" &amp; A81 &amp; "*", 'Form Responses 1'!C:C, 'Form Responses 1'!G:G, "Not Inspected", 2, -1)</f>
        <v>Not Inspected</v>
      </c>
      <c r="H81" s="7">
        <f>_xlfn.XLOOKUP("*" &amp; A81 &amp; "*", 'Form Responses 1'!C:C, 'Form Responses 1'!H:H, "", 2, -1)</f>
        <v>0</v>
      </c>
    </row>
    <row r="82" spans="3:8" hidden="1" x14ac:dyDescent="0.3">
      <c r="C82" s="7" t="str">
        <f ca="1">_xlfn.LET( _xlpm.LatestAction, _xlfn.XLOOKUP("*" &amp; A82 &amp; "*", 'Form Responses 1'!C:C, 'Form Responses 1'!B:B, "Available", 2, -1), _xlpm.LatestInsp, _xlfn.XLOOKUP("*" &amp; A82 &amp; "*", 'Form Responses 1'!C:C, 'Form Responses 1'!G:G, "", 2, -1), _xlpm.LatestDate, _xlfn.XLOOKUP("*" &amp; A82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82" s="7" t="str">
        <f>_xlfn.LET( _xlpm.LatestAction, _xlfn.XLOOKUP("*" &amp; A82 &amp; "*", 'Form Responses 1'!C:C, 'Form Responses 1'!B:B, "", 2, -1), _xlpm.LatestTrainer, _xlfn.XLOOKUP("*" &amp; A82 &amp; "*", 'Form Responses 1'!C:C, 'Form Responses 1'!D:D, "", 2, -1), IF(OR(_xlpm.LatestAction = "Final Return to General Stock", _xlpm.LatestAction = ""), "", _xlpm.LatestTrainer) )</f>
        <v>Simon</v>
      </c>
      <c r="E82" s="7" t="str">
        <f>_xlfn.LET( _xlpm.LatestAction, _xlfn.XLOOKUP("*" &amp; A82 &amp; "*", 'Form Responses 1'!C:C, 'Form Responses 1'!B:B, "", 2, -1), _xlpm.LatestCand, _xlfn.XLOOKUP("*" &amp; A82 &amp; "*", 'Form Responses 1'!C:C, 'Form Responses 1'!E:E, "", 2, -1), IF(OR(_xlpm.LatestAction = "Final Return to General Stock", _xlpm.LatestAction = ""), "", _xlpm.LatestCand) )</f>
        <v>Dave</v>
      </c>
      <c r="F82" s="8" t="str">
        <f>_xlfn.LET( _xlpm.LatestAction, _xlfn.XLOOKUP("*" &amp; A82 &amp; "*", 'Form Responses 1'!C:C, 'Form Responses 1'!B:B, "", 2, -1), _xlpm.LatestDate, _xlfn.XLOOKUP("*" &amp; A82 &amp; "*", 'Form Responses 1'!C:C, 'Form Responses 1'!F:F, "", 2, -1), IF(OR(_xlpm.LatestAction = "Final Return to General Stock", _xlpm.LatestAction = ""), "", _xlpm.LatestDate) )</f>
        <v>15/10/2026</v>
      </c>
      <c r="G82" s="7" t="str">
        <f>_xlfn.XLOOKUP("*" &amp; A82 &amp; "*", 'Form Responses 1'!C:C, 'Form Responses 1'!G:G, "Not Inspected", 2, -1)</f>
        <v>Not Inspected</v>
      </c>
      <c r="H82" s="7">
        <f>_xlfn.XLOOKUP("*" &amp; A82 &amp; "*", 'Form Responses 1'!C:C, 'Form Responses 1'!H:H, "", 2, -1)</f>
        <v>0</v>
      </c>
    </row>
    <row r="83" spans="3:8" hidden="1" x14ac:dyDescent="0.3">
      <c r="C83" s="7" t="str">
        <f ca="1">_xlfn.LET( _xlpm.LatestAction, _xlfn.XLOOKUP("*" &amp; A83 &amp; "*", 'Form Responses 1'!C:C, 'Form Responses 1'!B:B, "Available", 2, -1), _xlpm.LatestInsp, _xlfn.XLOOKUP("*" &amp; A83 &amp; "*", 'Form Responses 1'!C:C, 'Form Responses 1'!G:G, "", 2, -1), _xlpm.LatestDate, _xlfn.XLOOKUP("*" &amp; A83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83" s="7" t="str">
        <f>_xlfn.LET( _xlpm.LatestAction, _xlfn.XLOOKUP("*" &amp; A83 &amp; "*", 'Form Responses 1'!C:C, 'Form Responses 1'!B:B, "", 2, -1), _xlpm.LatestTrainer, _xlfn.XLOOKUP("*" &amp; A83 &amp; "*", 'Form Responses 1'!C:C, 'Form Responses 1'!D:D, "", 2, -1), IF(OR(_xlpm.LatestAction = "Final Return to General Stock", _xlpm.LatestAction = ""), "", _xlpm.LatestTrainer) )</f>
        <v>Simon</v>
      </c>
      <c r="E83" s="7" t="str">
        <f>_xlfn.LET( _xlpm.LatestAction, _xlfn.XLOOKUP("*" &amp; A83 &amp; "*", 'Form Responses 1'!C:C, 'Form Responses 1'!B:B, "", 2, -1), _xlpm.LatestCand, _xlfn.XLOOKUP("*" &amp; A83 &amp; "*", 'Form Responses 1'!C:C, 'Form Responses 1'!E:E, "", 2, -1), IF(OR(_xlpm.LatestAction = "Final Return to General Stock", _xlpm.LatestAction = ""), "", _xlpm.LatestCand) )</f>
        <v>Dave</v>
      </c>
      <c r="F83" s="8" t="str">
        <f>_xlfn.LET( _xlpm.LatestAction, _xlfn.XLOOKUP("*" &amp; A83 &amp; "*", 'Form Responses 1'!C:C, 'Form Responses 1'!B:B, "", 2, -1), _xlpm.LatestDate, _xlfn.XLOOKUP("*" &amp; A83 &amp; "*", 'Form Responses 1'!C:C, 'Form Responses 1'!F:F, "", 2, -1), IF(OR(_xlpm.LatestAction = "Final Return to General Stock", _xlpm.LatestAction = ""), "", _xlpm.LatestDate) )</f>
        <v>15/10/2026</v>
      </c>
      <c r="G83" s="7" t="str">
        <f>_xlfn.XLOOKUP("*" &amp; A83 &amp; "*", 'Form Responses 1'!C:C, 'Form Responses 1'!G:G, "Not Inspected", 2, -1)</f>
        <v>Not Inspected</v>
      </c>
      <c r="H83" s="7">
        <f>_xlfn.XLOOKUP("*" &amp; A83 &amp; "*", 'Form Responses 1'!C:C, 'Form Responses 1'!H:H, "", 2, -1)</f>
        <v>0</v>
      </c>
    </row>
    <row r="84" spans="3:8" hidden="1" x14ac:dyDescent="0.3">
      <c r="C84" s="7" t="str">
        <f ca="1">_xlfn.LET( _xlpm.LatestAction, _xlfn.XLOOKUP("*" &amp; A84 &amp; "*", 'Form Responses 1'!C:C, 'Form Responses 1'!B:B, "Available", 2, -1), _xlpm.LatestInsp, _xlfn.XLOOKUP("*" &amp; A84 &amp; "*", 'Form Responses 1'!C:C, 'Form Responses 1'!G:G, "", 2, -1), _xlpm.LatestDate, _xlfn.XLOOKUP("*" &amp; A84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84" s="7" t="str">
        <f>_xlfn.LET( _xlpm.LatestAction, _xlfn.XLOOKUP("*" &amp; A84 &amp; "*", 'Form Responses 1'!C:C, 'Form Responses 1'!B:B, "", 2, -1), _xlpm.LatestTrainer, _xlfn.XLOOKUP("*" &amp; A84 &amp; "*", 'Form Responses 1'!C:C, 'Form Responses 1'!D:D, "", 2, -1), IF(OR(_xlpm.LatestAction = "Final Return to General Stock", _xlpm.LatestAction = ""), "", _xlpm.LatestTrainer) )</f>
        <v>Simon</v>
      </c>
      <c r="E84" s="7" t="str">
        <f>_xlfn.LET( _xlpm.LatestAction, _xlfn.XLOOKUP("*" &amp; A84 &amp; "*", 'Form Responses 1'!C:C, 'Form Responses 1'!B:B, "", 2, -1), _xlpm.LatestCand, _xlfn.XLOOKUP("*" &amp; A84 &amp; "*", 'Form Responses 1'!C:C, 'Form Responses 1'!E:E, "", 2, -1), IF(OR(_xlpm.LatestAction = "Final Return to General Stock", _xlpm.LatestAction = ""), "", _xlpm.LatestCand) )</f>
        <v>Dave</v>
      </c>
      <c r="F84" s="8" t="str">
        <f>_xlfn.LET( _xlpm.LatestAction, _xlfn.XLOOKUP("*" &amp; A84 &amp; "*", 'Form Responses 1'!C:C, 'Form Responses 1'!B:B, "", 2, -1), _xlpm.LatestDate, _xlfn.XLOOKUP("*" &amp; A84 &amp; "*", 'Form Responses 1'!C:C, 'Form Responses 1'!F:F, "", 2, -1), IF(OR(_xlpm.LatestAction = "Final Return to General Stock", _xlpm.LatestAction = ""), "", _xlpm.LatestDate) )</f>
        <v>15/10/2026</v>
      </c>
      <c r="G84" s="7" t="str">
        <f>_xlfn.XLOOKUP("*" &amp; A84 &amp; "*", 'Form Responses 1'!C:C, 'Form Responses 1'!G:G, "Not Inspected", 2, -1)</f>
        <v>Not Inspected</v>
      </c>
      <c r="H84" s="7">
        <f>_xlfn.XLOOKUP("*" &amp; A84 &amp; "*", 'Form Responses 1'!C:C, 'Form Responses 1'!H:H, "", 2, -1)</f>
        <v>0</v>
      </c>
    </row>
    <row r="85" spans="3:8" hidden="1" x14ac:dyDescent="0.3">
      <c r="C85" s="7" t="str">
        <f ca="1">_xlfn.LET( _xlpm.LatestAction, _xlfn.XLOOKUP("*" &amp; A85 &amp; "*", 'Form Responses 1'!C:C, 'Form Responses 1'!B:B, "Available", 2, -1), _xlpm.LatestInsp, _xlfn.XLOOKUP("*" &amp; A85 &amp; "*", 'Form Responses 1'!C:C, 'Form Responses 1'!G:G, "", 2, -1), _xlpm.LatestDate, _xlfn.XLOOKUP("*" &amp; A85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85" s="7" t="str">
        <f>_xlfn.LET( _xlpm.LatestAction, _xlfn.XLOOKUP("*" &amp; A85 &amp; "*", 'Form Responses 1'!C:C, 'Form Responses 1'!B:B, "", 2, -1), _xlpm.LatestTrainer, _xlfn.XLOOKUP("*" &amp; A85 &amp; "*", 'Form Responses 1'!C:C, 'Form Responses 1'!D:D, "", 2, -1), IF(OR(_xlpm.LatestAction = "Final Return to General Stock", _xlpm.LatestAction = ""), "", _xlpm.LatestTrainer) )</f>
        <v>Simon</v>
      </c>
      <c r="E85" s="7" t="str">
        <f>_xlfn.LET( _xlpm.LatestAction, _xlfn.XLOOKUP("*" &amp; A85 &amp; "*", 'Form Responses 1'!C:C, 'Form Responses 1'!B:B, "", 2, -1), _xlpm.LatestCand, _xlfn.XLOOKUP("*" &amp; A85 &amp; "*", 'Form Responses 1'!C:C, 'Form Responses 1'!E:E, "", 2, -1), IF(OR(_xlpm.LatestAction = "Final Return to General Stock", _xlpm.LatestAction = ""), "", _xlpm.LatestCand) )</f>
        <v>Dave</v>
      </c>
      <c r="F85" s="8" t="str">
        <f>_xlfn.LET( _xlpm.LatestAction, _xlfn.XLOOKUP("*" &amp; A85 &amp; "*", 'Form Responses 1'!C:C, 'Form Responses 1'!B:B, "", 2, -1), _xlpm.LatestDate, _xlfn.XLOOKUP("*" &amp; A85 &amp; "*", 'Form Responses 1'!C:C, 'Form Responses 1'!F:F, "", 2, -1), IF(OR(_xlpm.LatestAction = "Final Return to General Stock", _xlpm.LatestAction = ""), "", _xlpm.LatestDate) )</f>
        <v>15/10/2026</v>
      </c>
      <c r="G85" s="7" t="str">
        <f>_xlfn.XLOOKUP("*" &amp; A85 &amp; "*", 'Form Responses 1'!C:C, 'Form Responses 1'!G:G, "Not Inspected", 2, -1)</f>
        <v>Not Inspected</v>
      </c>
      <c r="H85" s="7">
        <f>_xlfn.XLOOKUP("*" &amp; A85 &amp; "*", 'Form Responses 1'!C:C, 'Form Responses 1'!H:H, "", 2, -1)</f>
        <v>0</v>
      </c>
    </row>
    <row r="86" spans="3:8" hidden="1" x14ac:dyDescent="0.3">
      <c r="C86" s="7" t="str">
        <f ca="1">_xlfn.LET( _xlpm.LatestAction, _xlfn.XLOOKUP("*" &amp; A86 &amp; "*", 'Form Responses 1'!C:C, 'Form Responses 1'!B:B, "Available", 2, -1), _xlpm.LatestInsp, _xlfn.XLOOKUP("*" &amp; A86 &amp; "*", 'Form Responses 1'!C:C, 'Form Responses 1'!G:G, "", 2, -1), _xlpm.LatestDate, _xlfn.XLOOKUP("*" &amp; A86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86" s="7" t="str">
        <f>_xlfn.LET( _xlpm.LatestAction, _xlfn.XLOOKUP("*" &amp; A86 &amp; "*", 'Form Responses 1'!C:C, 'Form Responses 1'!B:B, "", 2, -1), _xlpm.LatestTrainer, _xlfn.XLOOKUP("*" &amp; A86 &amp; "*", 'Form Responses 1'!C:C, 'Form Responses 1'!D:D, "", 2, -1), IF(OR(_xlpm.LatestAction = "Final Return to General Stock", _xlpm.LatestAction = ""), "", _xlpm.LatestTrainer) )</f>
        <v>Simon</v>
      </c>
      <c r="E86" s="7" t="str">
        <f>_xlfn.LET( _xlpm.LatestAction, _xlfn.XLOOKUP("*" &amp; A86 &amp; "*", 'Form Responses 1'!C:C, 'Form Responses 1'!B:B, "", 2, -1), _xlpm.LatestCand, _xlfn.XLOOKUP("*" &amp; A86 &amp; "*", 'Form Responses 1'!C:C, 'Form Responses 1'!E:E, "", 2, -1), IF(OR(_xlpm.LatestAction = "Final Return to General Stock", _xlpm.LatestAction = ""), "", _xlpm.LatestCand) )</f>
        <v>Dave</v>
      </c>
      <c r="F86" s="8" t="str">
        <f>_xlfn.LET( _xlpm.LatestAction, _xlfn.XLOOKUP("*" &amp; A86 &amp; "*", 'Form Responses 1'!C:C, 'Form Responses 1'!B:B, "", 2, -1), _xlpm.LatestDate, _xlfn.XLOOKUP("*" &amp; A86 &amp; "*", 'Form Responses 1'!C:C, 'Form Responses 1'!F:F, "", 2, -1), IF(OR(_xlpm.LatestAction = "Final Return to General Stock", _xlpm.LatestAction = ""), "", _xlpm.LatestDate) )</f>
        <v>15/10/2026</v>
      </c>
      <c r="G86" s="7" t="str">
        <f>_xlfn.XLOOKUP("*" &amp; A86 &amp; "*", 'Form Responses 1'!C:C, 'Form Responses 1'!G:G, "Not Inspected", 2, -1)</f>
        <v>Not Inspected</v>
      </c>
      <c r="H86" s="7">
        <f>_xlfn.XLOOKUP("*" &amp; A86 &amp; "*", 'Form Responses 1'!C:C, 'Form Responses 1'!H:H, "", 2, -1)</f>
        <v>0</v>
      </c>
    </row>
    <row r="87" spans="3:8" hidden="1" x14ac:dyDescent="0.3">
      <c r="C87" s="7" t="str">
        <f ca="1">_xlfn.LET( _xlpm.LatestAction, _xlfn.XLOOKUP("*" &amp; A87 &amp; "*", 'Form Responses 1'!C:C, 'Form Responses 1'!B:B, "Available", 2, -1), _xlpm.LatestInsp, _xlfn.XLOOKUP("*" &amp; A87 &amp; "*", 'Form Responses 1'!C:C, 'Form Responses 1'!G:G, "", 2, -1), _xlpm.LatestDate, _xlfn.XLOOKUP("*" &amp; A87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87" s="7" t="str">
        <f>_xlfn.LET( _xlpm.LatestAction, _xlfn.XLOOKUP("*" &amp; A87 &amp; "*", 'Form Responses 1'!C:C, 'Form Responses 1'!B:B, "", 2, -1), _xlpm.LatestTrainer, _xlfn.XLOOKUP("*" &amp; A87 &amp; "*", 'Form Responses 1'!C:C, 'Form Responses 1'!D:D, "", 2, -1), IF(OR(_xlpm.LatestAction = "Final Return to General Stock", _xlpm.LatestAction = ""), "", _xlpm.LatestTrainer) )</f>
        <v>Simon</v>
      </c>
      <c r="E87" s="7" t="str">
        <f>_xlfn.LET( _xlpm.LatestAction, _xlfn.XLOOKUP("*" &amp; A87 &amp; "*", 'Form Responses 1'!C:C, 'Form Responses 1'!B:B, "", 2, -1), _xlpm.LatestCand, _xlfn.XLOOKUP("*" &amp; A87 &amp; "*", 'Form Responses 1'!C:C, 'Form Responses 1'!E:E, "", 2, -1), IF(OR(_xlpm.LatestAction = "Final Return to General Stock", _xlpm.LatestAction = ""), "", _xlpm.LatestCand) )</f>
        <v>Dave</v>
      </c>
      <c r="F87" s="8" t="str">
        <f>_xlfn.LET( _xlpm.LatestAction, _xlfn.XLOOKUP("*" &amp; A87 &amp; "*", 'Form Responses 1'!C:C, 'Form Responses 1'!B:B, "", 2, -1), _xlpm.LatestDate, _xlfn.XLOOKUP("*" &amp; A87 &amp; "*", 'Form Responses 1'!C:C, 'Form Responses 1'!F:F, "", 2, -1), IF(OR(_xlpm.LatestAction = "Final Return to General Stock", _xlpm.LatestAction = ""), "", _xlpm.LatestDate) )</f>
        <v>15/10/2026</v>
      </c>
      <c r="G87" s="7" t="str">
        <f>_xlfn.XLOOKUP("*" &amp; A87 &amp; "*", 'Form Responses 1'!C:C, 'Form Responses 1'!G:G, "Not Inspected", 2, -1)</f>
        <v>Not Inspected</v>
      </c>
      <c r="H87" s="7">
        <f>_xlfn.XLOOKUP("*" &amp; A87 &amp; "*", 'Form Responses 1'!C:C, 'Form Responses 1'!H:H, "", 2, -1)</f>
        <v>0</v>
      </c>
    </row>
    <row r="88" spans="3:8" hidden="1" x14ac:dyDescent="0.3">
      <c r="C88" s="7" t="str">
        <f ca="1">_xlfn.LET( _xlpm.LatestAction, _xlfn.XLOOKUP("*" &amp; A88 &amp; "*", 'Form Responses 1'!C:C, 'Form Responses 1'!B:B, "Available", 2, -1), _xlpm.LatestInsp, _xlfn.XLOOKUP("*" &amp; A88 &amp; "*", 'Form Responses 1'!C:C, 'Form Responses 1'!G:G, "", 2, -1), _xlpm.LatestDate, _xlfn.XLOOKUP("*" &amp; A88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88" s="7" t="str">
        <f>_xlfn.LET( _xlpm.LatestAction, _xlfn.XLOOKUP("*" &amp; A88 &amp; "*", 'Form Responses 1'!C:C, 'Form Responses 1'!B:B, "", 2, -1), _xlpm.LatestTrainer, _xlfn.XLOOKUP("*" &amp; A88 &amp; "*", 'Form Responses 1'!C:C, 'Form Responses 1'!D:D, "", 2, -1), IF(OR(_xlpm.LatestAction = "Final Return to General Stock", _xlpm.LatestAction = ""), "", _xlpm.LatestTrainer) )</f>
        <v>Simon</v>
      </c>
      <c r="E88" s="7" t="str">
        <f>_xlfn.LET( _xlpm.LatestAction, _xlfn.XLOOKUP("*" &amp; A88 &amp; "*", 'Form Responses 1'!C:C, 'Form Responses 1'!B:B, "", 2, -1), _xlpm.LatestCand, _xlfn.XLOOKUP("*" &amp; A88 &amp; "*", 'Form Responses 1'!C:C, 'Form Responses 1'!E:E, "", 2, -1), IF(OR(_xlpm.LatestAction = "Final Return to General Stock", _xlpm.LatestAction = ""), "", _xlpm.LatestCand) )</f>
        <v>Dave</v>
      </c>
      <c r="F88" s="8" t="str">
        <f>_xlfn.LET( _xlpm.LatestAction, _xlfn.XLOOKUP("*" &amp; A88 &amp; "*", 'Form Responses 1'!C:C, 'Form Responses 1'!B:B, "", 2, -1), _xlpm.LatestDate, _xlfn.XLOOKUP("*" &amp; A88 &amp; "*", 'Form Responses 1'!C:C, 'Form Responses 1'!F:F, "", 2, -1), IF(OR(_xlpm.LatestAction = "Final Return to General Stock", _xlpm.LatestAction = ""), "", _xlpm.LatestDate) )</f>
        <v>15/10/2026</v>
      </c>
      <c r="G88" s="7" t="str">
        <f>_xlfn.XLOOKUP("*" &amp; A88 &amp; "*", 'Form Responses 1'!C:C, 'Form Responses 1'!G:G, "Not Inspected", 2, -1)</f>
        <v>Not Inspected</v>
      </c>
      <c r="H88" s="7">
        <f>_xlfn.XLOOKUP("*" &amp; A88 &amp; "*", 'Form Responses 1'!C:C, 'Form Responses 1'!H:H, "", 2, -1)</f>
        <v>0</v>
      </c>
    </row>
    <row r="89" spans="3:8" hidden="1" x14ac:dyDescent="0.3">
      <c r="C89" s="7" t="str">
        <f ca="1">_xlfn.LET( _xlpm.LatestAction, _xlfn.XLOOKUP("*" &amp; A89 &amp; "*", 'Form Responses 1'!C:C, 'Form Responses 1'!B:B, "Available", 2, -1), _xlpm.LatestInsp, _xlfn.XLOOKUP("*" &amp; A89 &amp; "*", 'Form Responses 1'!C:C, 'Form Responses 1'!G:G, "", 2, -1), _xlpm.LatestDate, _xlfn.XLOOKUP("*" &amp; A89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89" s="7" t="str">
        <f>_xlfn.LET( _xlpm.LatestAction, _xlfn.XLOOKUP("*" &amp; A89 &amp; "*", 'Form Responses 1'!C:C, 'Form Responses 1'!B:B, "", 2, -1), _xlpm.LatestTrainer, _xlfn.XLOOKUP("*" &amp; A89 &amp; "*", 'Form Responses 1'!C:C, 'Form Responses 1'!D:D, "", 2, -1), IF(OR(_xlpm.LatestAction = "Final Return to General Stock", _xlpm.LatestAction = ""), "", _xlpm.LatestTrainer) )</f>
        <v>Simon</v>
      </c>
      <c r="E89" s="7" t="str">
        <f>_xlfn.LET( _xlpm.LatestAction, _xlfn.XLOOKUP("*" &amp; A89 &amp; "*", 'Form Responses 1'!C:C, 'Form Responses 1'!B:B, "", 2, -1), _xlpm.LatestCand, _xlfn.XLOOKUP("*" &amp; A89 &amp; "*", 'Form Responses 1'!C:C, 'Form Responses 1'!E:E, "", 2, -1), IF(OR(_xlpm.LatestAction = "Final Return to General Stock", _xlpm.LatestAction = ""), "", _xlpm.LatestCand) )</f>
        <v>Dave</v>
      </c>
      <c r="F89" s="8" t="str">
        <f>_xlfn.LET( _xlpm.LatestAction, _xlfn.XLOOKUP("*" &amp; A89 &amp; "*", 'Form Responses 1'!C:C, 'Form Responses 1'!B:B, "", 2, -1), _xlpm.LatestDate, _xlfn.XLOOKUP("*" &amp; A89 &amp; "*", 'Form Responses 1'!C:C, 'Form Responses 1'!F:F, "", 2, -1), IF(OR(_xlpm.LatestAction = "Final Return to General Stock", _xlpm.LatestAction = ""), "", _xlpm.LatestDate) )</f>
        <v>15/10/2026</v>
      </c>
      <c r="G89" s="7" t="str">
        <f>_xlfn.XLOOKUP("*" &amp; A89 &amp; "*", 'Form Responses 1'!C:C, 'Form Responses 1'!G:G, "Not Inspected", 2, -1)</f>
        <v>Not Inspected</v>
      </c>
      <c r="H89" s="7">
        <f>_xlfn.XLOOKUP("*" &amp; A89 &amp; "*", 'Form Responses 1'!C:C, 'Form Responses 1'!H:H, "", 2, -1)</f>
        <v>0</v>
      </c>
    </row>
    <row r="90" spans="3:8" hidden="1" x14ac:dyDescent="0.3">
      <c r="C90" s="7" t="str">
        <f ca="1">_xlfn.LET( _xlpm.LatestAction, _xlfn.XLOOKUP("*" &amp; A90 &amp; "*", 'Form Responses 1'!C:C, 'Form Responses 1'!B:B, "Available", 2, -1), _xlpm.LatestInsp, _xlfn.XLOOKUP("*" &amp; A90 &amp; "*", 'Form Responses 1'!C:C, 'Form Responses 1'!G:G, "", 2, -1), _xlpm.LatestDate, _xlfn.XLOOKUP("*" &amp; A90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90" s="7" t="str">
        <f>_xlfn.LET( _xlpm.LatestAction, _xlfn.XLOOKUP("*" &amp; A90 &amp; "*", 'Form Responses 1'!C:C, 'Form Responses 1'!B:B, "", 2, -1), _xlpm.LatestTrainer, _xlfn.XLOOKUP("*" &amp; A90 &amp; "*", 'Form Responses 1'!C:C, 'Form Responses 1'!D:D, "", 2, -1), IF(OR(_xlpm.LatestAction = "Final Return to General Stock", _xlpm.LatestAction = ""), "", _xlpm.LatestTrainer) )</f>
        <v>Simon</v>
      </c>
      <c r="E90" s="7" t="str">
        <f>_xlfn.LET( _xlpm.LatestAction, _xlfn.XLOOKUP("*" &amp; A90 &amp; "*", 'Form Responses 1'!C:C, 'Form Responses 1'!B:B, "", 2, -1), _xlpm.LatestCand, _xlfn.XLOOKUP("*" &amp; A90 &amp; "*", 'Form Responses 1'!C:C, 'Form Responses 1'!E:E, "", 2, -1), IF(OR(_xlpm.LatestAction = "Final Return to General Stock", _xlpm.LatestAction = ""), "", _xlpm.LatestCand) )</f>
        <v>Dave</v>
      </c>
      <c r="F90" s="8" t="str">
        <f>_xlfn.LET( _xlpm.LatestAction, _xlfn.XLOOKUP("*" &amp; A90 &amp; "*", 'Form Responses 1'!C:C, 'Form Responses 1'!B:B, "", 2, -1), _xlpm.LatestDate, _xlfn.XLOOKUP("*" &amp; A90 &amp; "*", 'Form Responses 1'!C:C, 'Form Responses 1'!F:F, "", 2, -1), IF(OR(_xlpm.LatestAction = "Final Return to General Stock", _xlpm.LatestAction = ""), "", _xlpm.LatestDate) )</f>
        <v>15/10/2026</v>
      </c>
      <c r="G90" s="7" t="str">
        <f>_xlfn.XLOOKUP("*" &amp; A90 &amp; "*", 'Form Responses 1'!C:C, 'Form Responses 1'!G:G, "Not Inspected", 2, -1)</f>
        <v>Not Inspected</v>
      </c>
      <c r="H90" s="7">
        <f>_xlfn.XLOOKUP("*" &amp; A90 &amp; "*", 'Form Responses 1'!C:C, 'Form Responses 1'!H:H, "", 2, -1)</f>
        <v>0</v>
      </c>
    </row>
    <row r="91" spans="3:8" hidden="1" x14ac:dyDescent="0.3">
      <c r="C91" s="7" t="str">
        <f ca="1">_xlfn.LET( _xlpm.LatestAction, _xlfn.XLOOKUP("*" &amp; A91 &amp; "*", 'Form Responses 1'!C:C, 'Form Responses 1'!B:B, "Available", 2, -1), _xlpm.LatestInsp, _xlfn.XLOOKUP("*" &amp; A91 &amp; "*", 'Form Responses 1'!C:C, 'Form Responses 1'!G:G, "", 2, -1), _xlpm.LatestDate, _xlfn.XLOOKUP("*" &amp; A91 &amp; "*", 'Form Responses 1'!C:C, 'Form Responses 1'!F:F, "", 2, -1), _xlpm.IsAssessmentToday, IF(_xlpm.LatestDate = "", FALSE, IF(ISNUMBER(_xlpm.LatestDate), INT(_xlpm.LatestDate) = TODAY(), DATEVALUE(_xlpm.LatestDate) = TODAY())), IF(_xlpm.LatestInsp = "Fail / Maintenance Required", "⚠️ MAINTENANCE", IF(_xlpm.LatestAction = "Check Out for Course", "🔴 IN USE", IF(_xlpm.LatestAction = "Re-issue for Assessment", "🔴 IN USE", IF(_xlpm.LatestAction = "Return &amp; Reserve for Assessment", IF(_xlpm.IsAssessmentToday, "🔒 RESERVED (Today)", "🟢 AVAILABLE"), "🟢 AVAILABLE" ) ) ) ) )</f>
        <v>🔴 IN USE</v>
      </c>
      <c r="D91" s="7" t="str">
        <f>_xlfn.LET( _xlpm.LatestAction, _xlfn.XLOOKUP("*" &amp; A91 &amp; "*", 'Form Responses 1'!C:C, 'Form Responses 1'!B:B, "", 2, -1), _xlpm.LatestTrainer, _xlfn.XLOOKUP("*" &amp; A91 &amp; "*", 'Form Responses 1'!C:C, 'Form Responses 1'!D:D, "", 2, -1), IF(OR(_xlpm.LatestAction = "Final Return to General Stock", _xlpm.LatestAction = ""), "", _xlpm.LatestTrainer) )</f>
        <v>Simon</v>
      </c>
      <c r="E91" s="7" t="str">
        <f>_xlfn.LET( _xlpm.LatestAction, _xlfn.XLOOKUP("*" &amp; A91 &amp; "*", 'Form Responses 1'!C:C, 'Form Responses 1'!B:B, "", 2, -1), _xlpm.LatestCand, _xlfn.XLOOKUP("*" &amp; A91 &amp; "*", 'Form Responses 1'!C:C, 'Form Responses 1'!E:E, "", 2, -1), IF(OR(_xlpm.LatestAction = "Final Return to General Stock", _xlpm.LatestAction = ""), "", _xlpm.LatestCand) )</f>
        <v>Dave</v>
      </c>
      <c r="F91" s="8" t="str">
        <f>_xlfn.LET( _xlpm.LatestAction, _xlfn.XLOOKUP("*" &amp; A91 &amp; "*", 'Form Responses 1'!C:C, 'Form Responses 1'!B:B, "", 2, -1), _xlpm.LatestDate, _xlfn.XLOOKUP("*" &amp; A91 &amp; "*", 'Form Responses 1'!C:C, 'Form Responses 1'!F:F, "", 2, -1), IF(OR(_xlpm.LatestAction = "Final Return to General Stock", _xlpm.LatestAction = ""), "", _xlpm.LatestDate) )</f>
        <v>15/10/2026</v>
      </c>
      <c r="G91" s="7" t="str">
        <f>_xlfn.XLOOKUP("*" &amp; A91 &amp; "*", 'Form Responses 1'!C:C, 'Form Responses 1'!G:G, "Not Inspected", 2, -1)</f>
        <v>Not Inspected</v>
      </c>
      <c r="H91" s="7">
        <f>_xlfn.XLOOKUP("*" &amp; A91 &amp; "*", 'Form Responses 1'!C:C, 'Form Responses 1'!H:H, "", 2, -1)</f>
        <v>0</v>
      </c>
    </row>
  </sheetData>
  <conditionalFormatting sqref="F2:F197">
    <cfRule type="expression" dxfId="1" priority="1">
      <formula>AND(F2&lt;&gt;"", F2=TODAY())</formula>
    </cfRule>
  </conditionalFormatting>
  <conditionalFormatting sqref="G23">
    <cfRule type="cellIs" dxfId="0" priority="3" operator="equal">
      <formula>$C$2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b207dd-288d-4171-975c-271a795cb2ff">
      <Terms xmlns="http://schemas.microsoft.com/office/infopath/2007/PartnerControls"/>
    </lcf76f155ced4ddcb4097134ff3c332f>
    <TaxCatchAll xmlns="897017e4-d7ae-4d11-9cf6-97cd366bf34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C3CAD85C9A894188DFAD7C673C5AB0" ma:contentTypeVersion="15" ma:contentTypeDescription="Create a new document." ma:contentTypeScope="" ma:versionID="1b4236eb29acb1bf79483d1f40bf9b54">
  <xsd:schema xmlns:xsd="http://www.w3.org/2001/XMLSchema" xmlns:xs="http://www.w3.org/2001/XMLSchema" xmlns:p="http://schemas.microsoft.com/office/2006/metadata/properties" xmlns:ns2="897017e4-d7ae-4d11-9cf6-97cd366bf34d" xmlns:ns3="87b207dd-288d-4171-975c-271a795cb2ff" targetNamespace="http://schemas.microsoft.com/office/2006/metadata/properties" ma:root="true" ma:fieldsID="84f255cf7a39a5a32488cc9f4acafa90" ns2:_="" ns3:_="">
    <xsd:import namespace="897017e4-d7ae-4d11-9cf6-97cd366bf34d"/>
    <xsd:import namespace="87b207dd-288d-4171-975c-271a795cb2f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7017e4-d7ae-4d11-9cf6-97cd366bf3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d7e525c-5ced-4d93-be6f-f3911ce05081}" ma:internalName="TaxCatchAll" ma:showField="CatchAllData" ma:web="897017e4-d7ae-4d11-9cf6-97cd366bf3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207dd-288d-4171-975c-271a795cb2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7e3aabb-d08a-434b-a65e-9f664993d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34AA8A-6648-48B2-B79F-E204E1BD9040}">
  <ds:schemaRefs>
    <ds:schemaRef ds:uri="http://schemas.microsoft.com/office/2006/metadata/properties"/>
    <ds:schemaRef ds:uri="http://schemas.microsoft.com/office/infopath/2007/PartnerControls"/>
    <ds:schemaRef ds:uri="87b207dd-288d-4171-975c-271a795cb2ff"/>
    <ds:schemaRef ds:uri="897017e4-d7ae-4d11-9cf6-97cd366bf34d"/>
  </ds:schemaRefs>
</ds:datastoreItem>
</file>

<file path=customXml/itemProps2.xml><?xml version="1.0" encoding="utf-8"?>
<ds:datastoreItem xmlns:ds="http://schemas.openxmlformats.org/officeDocument/2006/customXml" ds:itemID="{42071E65-BC8B-4A1D-A166-DC8B28A6E9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F09CE6-5B4A-426E-B11C-3829F2677D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7017e4-d7ae-4d11-9cf6-97cd366bf34d"/>
    <ds:schemaRef ds:uri="87b207dd-288d-4171-975c-271a795cb2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Form Responses 1</vt:lpstr>
      <vt:lpstr>Live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Simon</cp:lastModifiedBy>
  <dcterms:created xsi:type="dcterms:W3CDTF">2026-09-30T08:18:58Z</dcterms:created>
  <dcterms:modified xsi:type="dcterms:W3CDTF">2026-10-16T11:07:54Z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0x0101007AC3CAD85C9A894188DFAD7C673C5AB0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{"FileActivityType":"9","FileActivityTimeStamp":"2026-10-07T10:18:54.160Z","FileActivityUsersOnPage":[{"DisplayName":"Simon","Id":"simon@greenwaytraining.co.uk"}],"FileActivityNavigationId":null}</vt:lpwstr>
  </property>
  <property fmtid="{D5CDD505-2E9C-101B-9397-08002B2CF9AE}" pid="7" name="TriggerFlowInfo">
    <vt:lpwstr/>
  </property>
</Properties>
</file>